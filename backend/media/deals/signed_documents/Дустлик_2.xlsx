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Дмитрий\Downloads\"/>
    </mc:Choice>
  </mc:AlternateContent>
  <xr:revisionPtr revIDLastSave="0" documentId="8_{52819298-F4BE-4DFC-9E37-4647333B9887}" xr6:coauthVersionLast="47" xr6:coauthVersionMax="47" xr10:uidLastSave="{00000000-0000-0000-0000-000000000000}"/>
  <bookViews>
    <workbookView xWindow="-120" yWindow="-120" windowWidth="38640" windowHeight="21120" firstSheet="1" activeTab="1" xr2:uid="{00000000-000D-0000-FFFF-FFFF00000000}"/>
  </bookViews>
  <sheets>
    <sheet name="Основной отчет" sheetId="1" state="hidden" r:id="rId1"/>
    <sheet name="Лист2" sheetId="4" r:id="rId2"/>
    <sheet name="Лист1" sheetId="3" state="hidden" r:id="rId3"/>
    <sheet name="Сводный отчет" sheetId="2" state="hidden" r:id="rId4"/>
  </sheets>
  <definedNames>
    <definedName name="_xlnm._FilterDatabase" localSheetId="0" hidden="1">'Основной отчет'!$A$1:$I$349</definedName>
  </definedNames>
  <calcPr calcId="191029"/>
  <pivotCaches>
    <pivotCache cacheId="2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C5" i="4"/>
  <c r="D5" i="4"/>
</calcChain>
</file>

<file path=xl/sharedStrings.xml><?xml version="1.0" encoding="utf-8"?>
<sst xmlns="http://schemas.openxmlformats.org/spreadsheetml/2006/main" count="1775" uniqueCount="308">
  <si>
    <t>Дом/группа</t>
  </si>
  <si>
    <t>№</t>
  </si>
  <si>
    <t>Кмн.</t>
  </si>
  <si>
    <t>Ст</t>
  </si>
  <si>
    <t>Пд.</t>
  </si>
  <si>
    <t>Эт.</t>
  </si>
  <si>
    <t>S по договору,м²</t>
  </si>
  <si>
    <t>Сумма сделки, UZS</t>
  </si>
  <si>
    <t>Ассалом Дустлик-1</t>
  </si>
  <si>
    <t>3</t>
  </si>
  <si>
    <t>9</t>
  </si>
  <si>
    <t>11</t>
  </si>
  <si>
    <t>12</t>
  </si>
  <si>
    <t>13</t>
  </si>
  <si>
    <t>14</t>
  </si>
  <si>
    <t>16</t>
  </si>
  <si>
    <t>17</t>
  </si>
  <si>
    <t>20</t>
  </si>
  <si>
    <t>24</t>
  </si>
  <si>
    <t>25</t>
  </si>
  <si>
    <t>26</t>
  </si>
  <si>
    <t>27</t>
  </si>
  <si>
    <t>28</t>
  </si>
  <si>
    <t>29</t>
  </si>
  <si>
    <t>30</t>
  </si>
  <si>
    <t>32</t>
  </si>
  <si>
    <t>33</t>
  </si>
  <si>
    <t>35</t>
  </si>
  <si>
    <t>36</t>
  </si>
  <si>
    <t>37</t>
  </si>
  <si>
    <t>38</t>
  </si>
  <si>
    <t>40</t>
  </si>
  <si>
    <t>41</t>
  </si>
  <si>
    <t>42</t>
  </si>
  <si>
    <t>43</t>
  </si>
  <si>
    <t>44</t>
  </si>
  <si>
    <t>45</t>
  </si>
  <si>
    <t>47</t>
  </si>
  <si>
    <t>48</t>
  </si>
  <si>
    <t>49</t>
  </si>
  <si>
    <t>52</t>
  </si>
  <si>
    <t>56</t>
  </si>
  <si>
    <t>57</t>
  </si>
  <si>
    <t>60</t>
  </si>
  <si>
    <t>61</t>
  </si>
  <si>
    <t>64</t>
  </si>
  <si>
    <t>65</t>
  </si>
  <si>
    <t>67</t>
  </si>
  <si>
    <t>68</t>
  </si>
  <si>
    <t>69</t>
  </si>
  <si>
    <t>72</t>
  </si>
  <si>
    <t>73</t>
  </si>
  <si>
    <t>75</t>
  </si>
  <si>
    <t>76</t>
  </si>
  <si>
    <t>77</t>
  </si>
  <si>
    <t>81</t>
  </si>
  <si>
    <t>84</t>
  </si>
  <si>
    <t>85</t>
  </si>
  <si>
    <t>89</t>
  </si>
  <si>
    <t>92</t>
  </si>
  <si>
    <t>93</t>
  </si>
  <si>
    <t>96</t>
  </si>
  <si>
    <t>99</t>
  </si>
  <si>
    <t>100</t>
  </si>
  <si>
    <t>101</t>
  </si>
  <si>
    <t>105</t>
  </si>
  <si>
    <t>106</t>
  </si>
  <si>
    <t>107</t>
  </si>
  <si>
    <t>108</t>
  </si>
  <si>
    <t>109</t>
  </si>
  <si>
    <t>110</t>
  </si>
  <si>
    <t>112</t>
  </si>
  <si>
    <t>113</t>
  </si>
  <si>
    <t>115</t>
  </si>
  <si>
    <t>116</t>
  </si>
  <si>
    <t>117</t>
  </si>
  <si>
    <t>118</t>
  </si>
  <si>
    <t>120</t>
  </si>
  <si>
    <t>121</t>
  </si>
  <si>
    <t>123</t>
  </si>
  <si>
    <t>124</t>
  </si>
  <si>
    <t>125</t>
  </si>
  <si>
    <t>126</t>
  </si>
  <si>
    <t>128</t>
  </si>
  <si>
    <t>129</t>
  </si>
  <si>
    <t>130</t>
  </si>
  <si>
    <t>131</t>
  </si>
  <si>
    <t>132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</si>
  <si>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</si>
  <si>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</si>
  <si>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</si>
  <si>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</si>
  <si>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</si>
  <si>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</si>
  <si>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</si>
  <si>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</si>
  <si>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</si>
  <si>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</si>
  <si>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</si>
  <si>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</si>
  <si>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</si>
  <si>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</si>
  <si>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</si>
  <si>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</si>
  <si>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</si>
  <si>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</si>
  <si>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</si>
  <si>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</si>
  <si>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</si>
  <si>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</si>
  <si>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</si>
  <si>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</si>
  <si>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</si>
  <si>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</si>
  <si>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</si>
  <si>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</si>
  <si>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</si>
  <si>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</si>
  <si>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</si>
  <si>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</si>
  <si>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</si>
  <si>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</si>
  <si>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</si>
  <si>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</si>
  <si>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</si>
  <si>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</si>
  <si>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</si>
  <si>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</si>
  <si>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</si>
  <si>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</si>
  <si>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</si>
  <si>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</si>
  <si>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</si>
  <si>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</si>
  <si>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</si>
  <si>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</si>
  <si>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</si>
  <si>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</si>
  <si>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</si>
  <si>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</si>
  <si>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</si>
  <si>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</si>
  <si>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</si>
  <si>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</si>
  <si>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</si>
  <si>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</si>
  <si>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</si>
  <si>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</si>
  <si>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</si>
  <si>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</si>
  <si>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</si>
  <si>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</si>
  <si>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</si>
  <si>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</si>
  <si>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</si>
  <si>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</si>
  <si>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</si>
  <si>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</si>
  <si>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</si>
  <si>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</si>
  <si>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</si>
  <si>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209</t>
  </si>
  <si>
    <t>210</t>
  </si>
  <si>
    <t>211</t>
  </si>
  <si>
    <t>212</t>
  </si>
  <si>
    <t>213</t>
  </si>
  <si>
    <t>216</t>
  </si>
  <si>
    <t>218</t>
  </si>
  <si>
    <t>220</t>
  </si>
  <si>
    <t>221</t>
  </si>
  <si>
    <t>222</t>
  </si>
  <si>
    <t>223</t>
  </si>
  <si>
    <t>224</t>
  </si>
  <si>
    <t>228</t>
  </si>
  <si>
    <t>229</t>
  </si>
  <si>
    <t>230</t>
  </si>
  <si>
    <t>231</t>
  </si>
  <si>
    <t>232</t>
  </si>
  <si>
    <t>233</t>
  </si>
  <si>
    <t>234</t>
  </si>
  <si>
    <t>236</t>
  </si>
  <si>
    <t>237</t>
  </si>
  <si>
    <t>239</t>
  </si>
  <si>
    <t>240</t>
  </si>
  <si>
    <t>241</t>
  </si>
  <si>
    <t>242</t>
  </si>
  <si>
    <t>243</t>
  </si>
  <si>
    <t>244</t>
  </si>
  <si>
    <t>245</t>
  </si>
  <si>
    <t>247</t>
  </si>
  <si>
    <t>248</t>
  </si>
  <si>
    <t>249</t>
  </si>
  <si>
    <t>250</t>
  </si>
  <si>
    <t>252</t>
  </si>
  <si>
    <t>253</t>
  </si>
  <si>
    <t>255</t>
  </si>
  <si>
    <t>256</t>
  </si>
  <si>
    <t>257</t>
  </si>
  <si>
    <t>258</t>
  </si>
  <si>
    <t>260</t>
  </si>
  <si>
    <t>261</t>
  </si>
  <si>
    <t>263</t>
  </si>
  <si>
    <t>264</t>
  </si>
  <si>
    <t>265</t>
  </si>
  <si>
    <t>266</t>
  </si>
  <si>
    <t>268</t>
  </si>
  <si>
    <t>269</t>
  </si>
  <si>
    <t>271</t>
  </si>
  <si>
    <t>272</t>
  </si>
  <si>
    <t>273</t>
  </si>
  <si>
    <t>274</t>
  </si>
  <si>
    <t>276</t>
  </si>
  <si>
    <t>279</t>
  </si>
  <si>
    <t>280</t>
  </si>
  <si>
    <t>282</t>
  </si>
  <si>
    <t>284</t>
  </si>
  <si>
    <t>285</t>
  </si>
  <si>
    <t>287</t>
  </si>
  <si>
    <t>288</t>
  </si>
  <si>
    <t>289</t>
  </si>
  <si>
    <t>290</t>
  </si>
  <si>
    <t>292</t>
  </si>
  <si>
    <t>293</t>
  </si>
  <si>
    <t>295</t>
  </si>
  <si>
    <t>296</t>
  </si>
  <si>
    <t>297</t>
  </si>
  <si>
    <t>298</t>
  </si>
  <si>
    <t>303</t>
  </si>
  <si>
    <t>304</t>
  </si>
  <si>
    <t>305</t>
  </si>
  <si>
    <t>306</t>
  </si>
  <si>
    <t>309</t>
  </si>
  <si>
    <t>311</t>
  </si>
  <si>
    <t>312</t>
  </si>
  <si>
    <t>314</t>
  </si>
  <si>
    <t>316</t>
  </si>
  <si>
    <t>317</t>
  </si>
  <si>
    <t>319</t>
  </si>
  <si>
    <t>320</t>
  </si>
  <si>
    <t>321</t>
  </si>
  <si>
    <t>322</t>
  </si>
  <si>
    <t>324</t>
  </si>
  <si>
    <t>327</t>
  </si>
  <si>
    <t>328</t>
  </si>
  <si>
    <t>329</t>
  </si>
  <si>
    <t>330</t>
  </si>
  <si>
    <t>34</t>
  </si>
  <si>
    <t>Ассалом Дустлик-2</t>
  </si>
  <si>
    <t>1</t>
  </si>
  <si>
    <t>4</t>
  </si>
  <si>
    <t>7</t>
  </si>
  <si>
    <t>10</t>
  </si>
  <si>
    <t>18</t>
  </si>
  <si>
    <t>19</t>
  </si>
  <si>
    <t>21</t>
  </si>
  <si>
    <t>22</t>
  </si>
  <si>
    <t>39</t>
  </si>
  <si>
    <t>53</t>
  </si>
  <si>
    <t>80</t>
  </si>
  <si>
    <t>83</t>
  </si>
  <si>
    <t>86</t>
  </si>
  <si>
    <t>88</t>
  </si>
  <si>
    <t>97</t>
  </si>
  <si>
    <t>104</t>
  </si>
  <si>
    <t>127</t>
  </si>
  <si>
    <t>183</t>
  </si>
  <si>
    <t>Всего объектов:</t>
  </si>
  <si>
    <t>Общая площадь, м²</t>
  </si>
  <si>
    <t>Средняя стоимость за м², UZS</t>
  </si>
  <si>
    <t>Средне взвешенная стоимость за м², UZS</t>
  </si>
  <si>
    <t>Общая стоимость, UZS (1+2+3+4)</t>
  </si>
  <si>
    <t>Не продано, UZS (1)</t>
  </si>
  <si>
    <t>Продано(фактические поступления), UZS(2)</t>
  </si>
  <si>
    <t>Продано(ожидаемые поступления), UZS(3)</t>
  </si>
  <si>
    <t>Продано(маркетинговые сделки), UZS(4)</t>
  </si>
  <si>
    <t>Стоиомть сделки в $</t>
  </si>
  <si>
    <t>Наименование</t>
  </si>
  <si>
    <t>Продано, шт</t>
  </si>
  <si>
    <t>Общая площадь проданных квартир, кв.м.</t>
  </si>
  <si>
    <t>Общая сумма проданных квартир, $(13050 курс)</t>
  </si>
  <si>
    <t>Итого</t>
  </si>
  <si>
    <t>Названия строк</t>
  </si>
  <si>
    <t>Общий итог</t>
  </si>
  <si>
    <t>Сумма по полю S по договору,м²</t>
  </si>
  <si>
    <t>Сумма по полю Стоиомть сделки в $</t>
  </si>
  <si>
    <t>1- Подьезд</t>
  </si>
  <si>
    <t>2- Подьезд</t>
  </si>
  <si>
    <t>3- Подьезд</t>
  </si>
  <si>
    <t>1- Этаж</t>
  </si>
  <si>
    <t>2- Этаж</t>
  </si>
  <si>
    <t>3- Этаж</t>
  </si>
  <si>
    <t>4- Этаж</t>
  </si>
  <si>
    <t>5- Этаж</t>
  </si>
  <si>
    <t>6- Этаж</t>
  </si>
  <si>
    <t>7- Этаж</t>
  </si>
  <si>
    <t>8- Этаж</t>
  </si>
  <si>
    <t>9- Этаж</t>
  </si>
  <si>
    <t>10- Этаж</t>
  </si>
  <si>
    <t>11- Этаж</t>
  </si>
  <si>
    <t>12- Этаж</t>
  </si>
  <si>
    <t>13- Этаж</t>
  </si>
  <si>
    <t>14- Этаж</t>
  </si>
  <si>
    <t>15- Этаж</t>
  </si>
  <si>
    <t>16- Этаж</t>
  </si>
  <si>
    <t>1- Комнатность</t>
  </si>
  <si>
    <t>2- Комнатность</t>
  </si>
  <si>
    <t>3- Комнатность</t>
  </si>
  <si>
    <t>Количество по полю Кмн.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</si>
</sst>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5" fontId="0" fillId="0" borderId="0" xfId="1" applyNumberFormat="1" applyFont="1"/>
    <xf numFmtId="3" fontId="0" fillId="0" borderId="0" xfId="0" applyNumberFormat="1"/>
    <xf numFmtId="0" fontId="3" fillId="0" borderId="0" xfId="0" applyFont="1"/>
    <xf numFmtId="3" fontId="3" fillId="0" borderId="0" xfId="0" applyNumberFormat="1" applyFont="1"/>
    <xf numFmtId="0" fontId="0" fillId="0" borderId="0" xfId="0" applyAlignment="1">
      <alignment horizontal="center"/>
    </xf>
    <xf numFmtId="0" fontId="0" fillId="0" borderId="3" xfId="0" applyBorder="1"/>
    <xf numFmtId="0" fontId="0" fillId="0" borderId="3" xfId="0" pivotButton="1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 indent="1"/>
    </xf>
    <xf numFmtId="0" fontId="0" fillId="0" borderId="5" xfId="0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7" xfId="0" applyBorder="1"/>
    <xf numFmtId="165" fontId="0" fillId="0" borderId="7" xfId="0" applyNumberFormat="1" applyBorder="1"/>
    <xf numFmtId="0" fontId="0" fillId="0" borderId="5" xfId="0" applyNumberFormat="1" applyBorder="1"/>
    <xf numFmtId="165" fontId="0" fillId="0" borderId="8" xfId="0" applyNumberFormat="1" applyBorder="1"/>
    <xf numFmtId="0" fontId="0" fillId="0" borderId="6" xfId="0" applyNumberFormat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Дмитрий" refreshedDate="45937.761523263885" createdVersion="8" refreshedVersion="8" minRefreshableVersion="3" recordCount="348" xr:uid="{2F791140-07B7-4C2A-95C9-4384745CE53D}">
  <cacheSource type="worksheet">
    <worksheetSource ref="A1:I349" sheet="Основной отчет"/>
  </cacheSource>
  <cacheFields count="9">
    <cacheField name="Дом/группа" numFmtId="0">
      <sharedItems count="2">
        <s v="Ассалом Дустлик-1"/>
        <s v="Ассалом Дустлик-2"/>
      </sharedItems>
    </cacheField>
    <cacheField name="№" numFmtId="49">
      <sharedItems/>
    </cacheField>
    <cacheField name="Кмн." numFmtId="0">
      <sharedItems containsMixedTypes="1" containsNumber="1" containsInteger="1" minValue="1" maxValue="3" count="6">
        <s v="1- Комнатность"/>
        <s v="2- Комнатность"/>
        <s v="3- Комнатность"/>
        <n v="1" u="1"/>
        <n v="2" u="1"/>
        <n v="3" u="1"/>
      </sharedItems>
    </cacheField>
    <cacheField name="Ст" numFmtId="0">
      <sharedItems containsNonDate="0" containsString="0" containsBlank="1"/>
    </cacheField>
    <cacheField name="Пд." numFmtId="0">
      <sharedItems containsMixedTypes="1" containsNumber="1" containsInteger="1" minValue="1" maxValue="3" count="6">
        <s v="1- Подьезд"/>
        <s v="2- Подьезд"/>
        <s v="3- Подьезд"/>
        <n v="1" u="1"/>
        <n v="2" u="1"/>
        <n v="3" u="1"/>
      </sharedItems>
    </cacheField>
    <cacheField name="Эт." numFmtId="0">
      <sharedItems containsMixedTypes="1" containsNumber="1" containsInteger="1" minValue="1" maxValue="16" count="32">
        <s v="1- Этаж"/>
        <s v="2- Этаж"/>
        <s v="3- Этаж"/>
        <s v="4- Этаж"/>
        <s v="5- Этаж"/>
        <s v="6- Этаж"/>
        <s v="7- Этаж"/>
        <s v="8- Этаж"/>
        <s v="9- Этаж"/>
        <s v="10- Этаж"/>
        <s v="11- Этаж"/>
        <s v="12- Этаж"/>
        <s v="13- Этаж"/>
        <s v="14- Этаж"/>
        <s v="15- Этаж"/>
        <s v="16- Этаж"/>
        <n v="1" u="1"/>
        <n v="2" u="1"/>
        <n v="3" u="1"/>
        <n v="4" u="1"/>
        <n v="5" u="1"/>
        <n v="6" u="1"/>
        <n v="7" u="1"/>
        <n v="8" u="1"/>
        <n v="9" u="1"/>
        <n v="10" u="1"/>
        <n v="11" u="1"/>
        <n v="12" u="1"/>
        <n v="13" u="1"/>
        <n v="14" u="1"/>
        <n v="15" u="1"/>
        <n v="16" u="1"/>
      </sharedItems>
    </cacheField>
    <cacheField name="S по договору,м²" numFmtId="0">
      <sharedItems containsSemiMixedTypes="0" containsString="0" containsNumber="1" minValue="24.01" maxValue="58.33"/>
    </cacheField>
    <cacheField name="Сумма сделки, UZS" numFmtId="0">
      <sharedItems containsSemiMixedTypes="0" containsString="0" containsNumber="1" containsInteger="1" minValue="331070186" maxValue="888782054"/>
    </cacheField>
    <cacheField name="Стоиомть сделки в $" numFmtId="165">
      <sharedItems containsSemiMixedTypes="0" containsString="0" containsNumber="1" minValue="25369.362911877393" maxValue="68105.9045210727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8">
  <r>
    <x v="0"/>
    <s v="3"/>
    <x v="0"/>
    <m/>
    <x v="0"/>
    <x v="0"/>
    <n v="24.01"/>
    <n v="387095190"/>
    <n v="29662.466666666667"/>
  </r>
  <r>
    <x v="0"/>
    <s v="9"/>
    <x v="0"/>
    <m/>
    <x v="0"/>
    <x v="1"/>
    <n v="33.03"/>
    <n v="438546632"/>
    <n v="33605.10590038314"/>
  </r>
  <r>
    <x v="0"/>
    <s v="11"/>
    <x v="0"/>
    <m/>
    <x v="0"/>
    <x v="1"/>
    <n v="28.91"/>
    <n v="417268903"/>
    <n v="31974.628582375481"/>
  </r>
  <r>
    <x v="0"/>
    <s v="12"/>
    <x v="1"/>
    <m/>
    <x v="0"/>
    <x v="1"/>
    <n v="44.82"/>
    <n v="661514207"/>
    <n v="50690.743831417625"/>
  </r>
  <r>
    <x v="0"/>
    <s v="13"/>
    <x v="1"/>
    <m/>
    <x v="0"/>
    <x v="1"/>
    <n v="54"/>
    <n v="678758218"/>
    <n v="52012.123984674326"/>
  </r>
  <r>
    <x v="0"/>
    <s v="14"/>
    <x v="0"/>
    <m/>
    <x v="0"/>
    <x v="1"/>
    <n v="28.91"/>
    <n v="471767716"/>
    <n v="36150.78283524904"/>
  </r>
  <r>
    <x v="0"/>
    <s v="16"/>
    <x v="0"/>
    <m/>
    <x v="0"/>
    <x v="1"/>
    <n v="33.03"/>
    <n v="450507670"/>
    <n v="34521.660536398471"/>
  </r>
  <r>
    <x v="0"/>
    <s v="17"/>
    <x v="0"/>
    <m/>
    <x v="0"/>
    <x v="2"/>
    <n v="33.03"/>
    <n v="431118493"/>
    <n v="33035.899846743298"/>
  </r>
  <r>
    <x v="0"/>
    <s v="20"/>
    <x v="1"/>
    <m/>
    <x v="0"/>
    <x v="2"/>
    <n v="44.82"/>
    <n v="634914346"/>
    <n v="48652.44030651341"/>
  </r>
  <r>
    <x v="0"/>
    <s v="24"/>
    <x v="0"/>
    <m/>
    <x v="0"/>
    <x v="2"/>
    <n v="33.03"/>
    <n v="450156536"/>
    <n v="34494.753716475097"/>
  </r>
  <r>
    <x v="0"/>
    <s v="25"/>
    <x v="0"/>
    <m/>
    <x v="0"/>
    <x v="3"/>
    <n v="33.04"/>
    <n v="412927337"/>
    <n v="31641.941532567049"/>
  </r>
  <r>
    <x v="0"/>
    <s v="26"/>
    <x v="0"/>
    <m/>
    <x v="0"/>
    <x v="3"/>
    <n v="31.47"/>
    <n v="392678254"/>
    <n v="30090.28766283525"/>
  </r>
  <r>
    <x v="0"/>
    <s v="27"/>
    <x v="0"/>
    <m/>
    <x v="0"/>
    <x v="3"/>
    <n v="28.91"/>
    <n v="410781978"/>
    <n v="31477.546206896553"/>
  </r>
  <r>
    <x v="0"/>
    <s v="28"/>
    <x v="1"/>
    <m/>
    <x v="0"/>
    <x v="3"/>
    <n v="40.380000000000003"/>
    <n v="555788795"/>
    <n v="42589.179693486592"/>
  </r>
  <r>
    <x v="0"/>
    <s v="29"/>
    <x v="1"/>
    <m/>
    <x v="0"/>
    <x v="3"/>
    <n v="48.49"/>
    <n v="689499448"/>
    <n v="52835.206743295021"/>
  </r>
  <r>
    <x v="0"/>
    <s v="30"/>
    <x v="0"/>
    <m/>
    <x v="0"/>
    <x v="3"/>
    <n v="28.91"/>
    <n v="457386600"/>
    <n v="35048.781609195401"/>
  </r>
  <r>
    <x v="0"/>
    <s v="32"/>
    <x v="0"/>
    <m/>
    <x v="0"/>
    <x v="3"/>
    <n v="33.04"/>
    <n v="505730905"/>
    <n v="38753.326053639845"/>
  </r>
  <r>
    <x v="0"/>
    <s v="33"/>
    <x v="0"/>
    <m/>
    <x v="0"/>
    <x v="4"/>
    <n v="33.04"/>
    <n v="497953360"/>
    <n v="38157.34559386973"/>
  </r>
  <r>
    <x v="0"/>
    <s v="35"/>
    <x v="0"/>
    <m/>
    <x v="0"/>
    <x v="4"/>
    <n v="28.91"/>
    <n v="424832711"/>
    <n v="32554.230727969349"/>
  </r>
  <r>
    <x v="0"/>
    <s v="36"/>
    <x v="1"/>
    <m/>
    <x v="0"/>
    <x v="4"/>
    <n v="40.380000000000003"/>
    <n v="555501053"/>
    <n v="42567.130498084291"/>
  </r>
  <r>
    <x v="0"/>
    <s v="37"/>
    <x v="1"/>
    <m/>
    <x v="0"/>
    <x v="4"/>
    <n v="48.49"/>
    <n v="701607115"/>
    <n v="53762.997318007663"/>
  </r>
  <r>
    <x v="0"/>
    <s v="38"/>
    <x v="0"/>
    <m/>
    <x v="0"/>
    <x v="4"/>
    <n v="28.91"/>
    <n v="424832711"/>
    <n v="32554.230727969349"/>
  </r>
  <r>
    <x v="0"/>
    <s v="40"/>
    <x v="0"/>
    <m/>
    <x v="0"/>
    <x v="4"/>
    <n v="33.04"/>
    <n v="515193857"/>
    <n v="39478.456475095787"/>
  </r>
  <r>
    <x v="0"/>
    <s v="41"/>
    <x v="0"/>
    <m/>
    <x v="0"/>
    <x v="5"/>
    <n v="33.04"/>
    <n v="425391020"/>
    <n v="32597.013026819925"/>
  </r>
  <r>
    <x v="0"/>
    <s v="42"/>
    <x v="0"/>
    <m/>
    <x v="0"/>
    <x v="5"/>
    <n v="31.47"/>
    <n v="472163512"/>
    <n v="36181.11203065134"/>
  </r>
  <r>
    <x v="0"/>
    <s v="43"/>
    <x v="0"/>
    <m/>
    <x v="0"/>
    <x v="5"/>
    <n v="28.91"/>
    <n v="427215926"/>
    <n v="32736.852567049809"/>
  </r>
  <r>
    <x v="0"/>
    <s v="44"/>
    <x v="1"/>
    <m/>
    <x v="0"/>
    <x v="5"/>
    <n v="40.380000000000003"/>
    <n v="501919282"/>
    <n v="38461.247662835252"/>
  </r>
  <r>
    <x v="0"/>
    <s v="45"/>
    <x v="1"/>
    <m/>
    <x v="0"/>
    <x v="5"/>
    <n v="48.49"/>
    <n v="663925646"/>
    <n v="50875.528429118771"/>
  </r>
  <r>
    <x v="0"/>
    <s v="47"/>
    <x v="0"/>
    <m/>
    <x v="0"/>
    <x v="5"/>
    <n v="31.47"/>
    <n v="447140992"/>
    <n v="34263.677547892723"/>
  </r>
  <r>
    <x v="0"/>
    <s v="48"/>
    <x v="0"/>
    <m/>
    <x v="0"/>
    <x v="5"/>
    <n v="33.04"/>
    <n v="506614102"/>
    <n v="38821.003984674331"/>
  </r>
  <r>
    <x v="0"/>
    <s v="49"/>
    <x v="0"/>
    <m/>
    <x v="0"/>
    <x v="6"/>
    <n v="33.04"/>
    <n v="418746827"/>
    <n v="32087.879463601534"/>
  </r>
  <r>
    <x v="0"/>
    <s v="52"/>
    <x v="1"/>
    <m/>
    <x v="0"/>
    <x v="6"/>
    <n v="40.380000000000003"/>
    <n v="489048391"/>
    <n v="37474.972490421453"/>
  </r>
  <r>
    <x v="0"/>
    <s v="56"/>
    <x v="0"/>
    <m/>
    <x v="0"/>
    <x v="6"/>
    <n v="33.04"/>
    <n v="418746827"/>
    <n v="32087.879463601534"/>
  </r>
  <r>
    <x v="0"/>
    <s v="57"/>
    <x v="0"/>
    <m/>
    <x v="0"/>
    <x v="7"/>
    <n v="33.04"/>
    <n v="418746827"/>
    <n v="32087.879463601534"/>
  </r>
  <r>
    <x v="0"/>
    <s v="60"/>
    <x v="1"/>
    <m/>
    <x v="0"/>
    <x v="7"/>
    <n v="40.380000000000003"/>
    <n v="472783839"/>
    <n v="36228.646666666667"/>
  </r>
  <r>
    <x v="0"/>
    <s v="61"/>
    <x v="1"/>
    <m/>
    <x v="0"/>
    <x v="7"/>
    <n v="48.49"/>
    <n v="705161576"/>
    <n v="54035.369808429117"/>
  </r>
  <r>
    <x v="0"/>
    <s v="64"/>
    <x v="0"/>
    <m/>
    <x v="0"/>
    <x v="7"/>
    <n v="33.04"/>
    <n v="529979748"/>
    <n v="40611.474942528737"/>
  </r>
  <r>
    <x v="0"/>
    <s v="65"/>
    <x v="0"/>
    <m/>
    <x v="0"/>
    <x v="8"/>
    <n v="33.11"/>
    <n v="412975734"/>
    <n v="31645.650114942528"/>
  </r>
  <r>
    <x v="0"/>
    <s v="67"/>
    <x v="0"/>
    <m/>
    <x v="0"/>
    <x v="8"/>
    <n v="29.04"/>
    <n v="371717770"/>
    <n v="28484.12030651341"/>
  </r>
  <r>
    <x v="0"/>
    <s v="68"/>
    <x v="1"/>
    <m/>
    <x v="0"/>
    <x v="8"/>
    <n v="40.44"/>
    <n v="503565047"/>
    <n v="38587.359923371645"/>
  </r>
  <r>
    <x v="0"/>
    <s v="69"/>
    <x v="1"/>
    <m/>
    <x v="0"/>
    <x v="8"/>
    <n v="48.55"/>
    <n v="680847403"/>
    <n v="52172.214789272031"/>
  </r>
  <r>
    <x v="0"/>
    <s v="72"/>
    <x v="0"/>
    <m/>
    <x v="0"/>
    <x v="8"/>
    <n v="33.11"/>
    <n v="412975734"/>
    <n v="31645.650114942528"/>
  </r>
  <r>
    <x v="0"/>
    <s v="73"/>
    <x v="0"/>
    <m/>
    <x v="0"/>
    <x v="9"/>
    <n v="33.11"/>
    <n v="467694611"/>
    <n v="35838.667509578547"/>
  </r>
  <r>
    <x v="0"/>
    <s v="75"/>
    <x v="0"/>
    <m/>
    <x v="0"/>
    <x v="9"/>
    <n v="29.04"/>
    <n v="420761125"/>
    <n v="32242.231800766283"/>
  </r>
  <r>
    <x v="0"/>
    <s v="76"/>
    <x v="1"/>
    <m/>
    <x v="0"/>
    <x v="9"/>
    <n v="40.44"/>
    <n v="542746915"/>
    <n v="41589.801915708813"/>
  </r>
  <r>
    <x v="0"/>
    <s v="77"/>
    <x v="1"/>
    <m/>
    <x v="0"/>
    <x v="9"/>
    <n v="48.55"/>
    <n v="782436979"/>
    <n v="59956.856628352492"/>
  </r>
  <r>
    <x v="0"/>
    <s v="81"/>
    <x v="0"/>
    <m/>
    <x v="0"/>
    <x v="10"/>
    <n v="33.11"/>
    <n v="427255126"/>
    <n v="32739.856398467433"/>
  </r>
  <r>
    <x v="0"/>
    <s v="84"/>
    <x v="1"/>
    <m/>
    <x v="0"/>
    <x v="10"/>
    <n v="40.44"/>
    <n v="584796523"/>
    <n v="44811.994099616859"/>
  </r>
  <r>
    <x v="0"/>
    <s v="85"/>
    <x v="1"/>
    <m/>
    <x v="0"/>
    <x v="10"/>
    <n v="48.55"/>
    <n v="627351552"/>
    <n v="48072.915862068963"/>
  </r>
  <r>
    <x v="0"/>
    <s v="89"/>
    <x v="0"/>
    <m/>
    <x v="0"/>
    <x v="11"/>
    <n v="33.11"/>
    <n v="449664421"/>
    <n v="34457.043754789272"/>
  </r>
  <r>
    <x v="0"/>
    <s v="92"/>
    <x v="1"/>
    <m/>
    <x v="0"/>
    <x v="11"/>
    <n v="40.44"/>
    <n v="546787110"/>
    <n v="41899.395402298847"/>
  </r>
  <r>
    <x v="0"/>
    <s v="93"/>
    <x v="1"/>
    <m/>
    <x v="0"/>
    <x v="11"/>
    <n v="48.55"/>
    <n v="571617818"/>
    <n v="43802.131647509581"/>
  </r>
  <r>
    <x v="0"/>
    <s v="96"/>
    <x v="0"/>
    <m/>
    <x v="0"/>
    <x v="11"/>
    <n v="33.11"/>
    <n v="429454784"/>
    <n v="32908.412567049811"/>
  </r>
  <r>
    <x v="0"/>
    <s v="99"/>
    <x v="0"/>
    <m/>
    <x v="0"/>
    <x v="12"/>
    <n v="29.04"/>
    <n v="371315651"/>
    <n v="28453.306590038315"/>
  </r>
  <r>
    <x v="0"/>
    <s v="100"/>
    <x v="1"/>
    <m/>
    <x v="0"/>
    <x v="12"/>
    <n v="40.44"/>
    <n v="538656497"/>
    <n v="41276.359923371645"/>
  </r>
  <r>
    <x v="0"/>
    <s v="101"/>
    <x v="1"/>
    <m/>
    <x v="0"/>
    <x v="12"/>
    <n v="48.55"/>
    <n v="638813339"/>
    <n v="48951.213716475097"/>
  </r>
  <r>
    <x v="0"/>
    <s v="105"/>
    <x v="0"/>
    <m/>
    <x v="0"/>
    <x v="13"/>
    <n v="33.11"/>
    <n v="494051748"/>
    <n v="37858.371494252875"/>
  </r>
  <r>
    <x v="0"/>
    <s v="106"/>
    <x v="0"/>
    <m/>
    <x v="0"/>
    <x v="13"/>
    <n v="31.6"/>
    <n v="431859518"/>
    <n v="33092.683371647508"/>
  </r>
  <r>
    <x v="0"/>
    <s v="107"/>
    <x v="0"/>
    <m/>
    <x v="0"/>
    <x v="13"/>
    <n v="29.04"/>
    <n v="429093882"/>
    <n v="32880.75724137931"/>
  </r>
  <r>
    <x v="0"/>
    <s v="108"/>
    <x v="1"/>
    <m/>
    <x v="0"/>
    <x v="13"/>
    <n v="40.44"/>
    <n v="543587136"/>
    <n v="41654.186666666668"/>
  </r>
  <r>
    <x v="0"/>
    <s v="109"/>
    <x v="1"/>
    <m/>
    <x v="0"/>
    <x v="13"/>
    <n v="48.55"/>
    <n v="678705321"/>
    <n v="52008.070574712641"/>
  </r>
  <r>
    <x v="0"/>
    <s v="110"/>
    <x v="0"/>
    <m/>
    <x v="0"/>
    <x v="13"/>
    <n v="29.04"/>
    <n v="359323642"/>
    <n v="27534.378697318007"/>
  </r>
  <r>
    <x v="0"/>
    <s v="112"/>
    <x v="0"/>
    <m/>
    <x v="0"/>
    <x v="13"/>
    <n v="33.11"/>
    <n v="447296954"/>
    <n v="34275.628659003829"/>
  </r>
  <r>
    <x v="0"/>
    <s v="113"/>
    <x v="0"/>
    <m/>
    <x v="0"/>
    <x v="14"/>
    <n v="33"/>
    <n v="466682331"/>
    <n v="35761.098160919537"/>
  </r>
  <r>
    <x v="0"/>
    <s v="115"/>
    <x v="0"/>
    <m/>
    <x v="0"/>
    <x v="14"/>
    <n v="28.99"/>
    <n v="340350188"/>
    <n v="26080.47417624521"/>
  </r>
  <r>
    <x v="0"/>
    <s v="116"/>
    <x v="1"/>
    <m/>
    <x v="0"/>
    <x v="14"/>
    <n v="40.33"/>
    <n v="503440903"/>
    <n v="38577.84697318008"/>
  </r>
  <r>
    <x v="0"/>
    <s v="117"/>
    <x v="1"/>
    <m/>
    <x v="0"/>
    <x v="14"/>
    <n v="48.44"/>
    <n v="630916577"/>
    <n v="48346.097854406129"/>
  </r>
  <r>
    <x v="0"/>
    <s v="118"/>
    <x v="0"/>
    <m/>
    <x v="0"/>
    <x v="14"/>
    <n v="28.99"/>
    <n v="340350188"/>
    <n v="26080.47417624521"/>
  </r>
  <r>
    <x v="0"/>
    <s v="120"/>
    <x v="0"/>
    <m/>
    <x v="0"/>
    <x v="14"/>
    <n v="33"/>
    <n v="387372284"/>
    <n v="29683.699923371649"/>
  </r>
  <r>
    <x v="0"/>
    <s v="121"/>
    <x v="0"/>
    <m/>
    <x v="0"/>
    <x v="15"/>
    <n v="33"/>
    <n v="401054314"/>
    <n v="30732.131340996169"/>
  </r>
  <r>
    <x v="0"/>
    <s v="123"/>
    <x v="0"/>
    <m/>
    <x v="0"/>
    <x v="15"/>
    <n v="28.99"/>
    <n v="364740285"/>
    <n v="27949.447126436782"/>
  </r>
  <r>
    <x v="0"/>
    <s v="124"/>
    <x v="1"/>
    <m/>
    <x v="0"/>
    <x v="15"/>
    <n v="40.33"/>
    <n v="504851622"/>
    <n v="38685.948045977013"/>
  </r>
  <r>
    <x v="0"/>
    <s v="125"/>
    <x v="1"/>
    <m/>
    <x v="0"/>
    <x v="15"/>
    <n v="48.44"/>
    <n v="589175799"/>
    <n v="45147.570804597701"/>
  </r>
  <r>
    <x v="0"/>
    <s v="126"/>
    <x v="0"/>
    <m/>
    <x v="0"/>
    <x v="15"/>
    <n v="28.99"/>
    <n v="416252867"/>
    <n v="31896.771417624521"/>
  </r>
  <r>
    <x v="0"/>
    <s v="128"/>
    <x v="0"/>
    <m/>
    <x v="0"/>
    <x v="15"/>
    <n v="33"/>
    <n v="401054314"/>
    <n v="30732.131340996169"/>
  </r>
  <r>
    <x v="0"/>
    <s v="129"/>
    <x v="1"/>
    <m/>
    <x v="1"/>
    <x v="1"/>
    <n v="55.51"/>
    <n v="851702185"/>
    <n v="65264.535249042143"/>
  </r>
  <r>
    <x v="0"/>
    <s v="130"/>
    <x v="1"/>
    <m/>
    <x v="1"/>
    <x v="1"/>
    <n v="49.17"/>
    <n v="739438951"/>
    <n v="56661.988582375481"/>
  </r>
  <r>
    <x v="0"/>
    <s v="131"/>
    <x v="0"/>
    <m/>
    <x v="1"/>
    <x v="1"/>
    <n v="33.6"/>
    <n v="415580279"/>
    <n v="31845.232107279695"/>
  </r>
  <r>
    <x v="0"/>
    <s v="132"/>
    <x v="2"/>
    <m/>
    <x v="1"/>
    <x v="1"/>
    <n v="58.33"/>
    <n v="819164992"/>
    <n v="62771.263754789274"/>
  </r>
  <r>
    <x v="0"/>
    <s v="134"/>
    <x v="1"/>
    <m/>
    <x v="1"/>
    <x v="1"/>
    <n v="56.73"/>
    <n v="846692412"/>
    <n v="64880.644597701146"/>
  </r>
  <r>
    <x v="0"/>
    <s v="135"/>
    <x v="1"/>
    <m/>
    <x v="1"/>
    <x v="2"/>
    <n v="54.79"/>
    <n v="719697420"/>
    <n v="55149.2275862069"/>
  </r>
  <r>
    <x v="0"/>
    <s v="136"/>
    <x v="1"/>
    <m/>
    <x v="1"/>
    <x v="2"/>
    <n v="48.9"/>
    <n v="747825050"/>
    <n v="57304.601532567052"/>
  </r>
  <r>
    <x v="0"/>
    <s v="137"/>
    <x v="0"/>
    <m/>
    <x v="1"/>
    <x v="2"/>
    <n v="33.33"/>
    <n v="423364624"/>
    <n v="32441.733639846745"/>
  </r>
  <r>
    <x v="0"/>
    <s v="138"/>
    <x v="2"/>
    <m/>
    <x v="1"/>
    <x v="2"/>
    <n v="57.83"/>
    <n v="782001523"/>
    <n v="59923.488352490422"/>
  </r>
  <r>
    <x v="0"/>
    <s v="139"/>
    <x v="1"/>
    <m/>
    <x v="1"/>
    <x v="2"/>
    <n v="44.21"/>
    <n v="638143505"/>
    <n v="48899.885440613027"/>
  </r>
  <r>
    <x v="0"/>
    <s v="140"/>
    <x v="1"/>
    <m/>
    <x v="1"/>
    <x v="2"/>
    <n v="56.24"/>
    <n v="835356600"/>
    <n v="64012"/>
  </r>
  <r>
    <x v="0"/>
    <s v="141"/>
    <x v="1"/>
    <m/>
    <x v="1"/>
    <x v="3"/>
    <n v="54.79"/>
    <n v="759026358"/>
    <n v="58162.939310344831"/>
  </r>
  <r>
    <x v="0"/>
    <s v="142"/>
    <x v="1"/>
    <m/>
    <x v="1"/>
    <x v="3"/>
    <n v="48.9"/>
    <n v="747825050"/>
    <n v="57304.601532567052"/>
  </r>
  <r>
    <x v="0"/>
    <s v="143"/>
    <x v="0"/>
    <m/>
    <x v="1"/>
    <x v="3"/>
    <n v="33.33"/>
    <n v="506351945"/>
    <n v="38800.915325670496"/>
  </r>
  <r>
    <x v="0"/>
    <s v="144"/>
    <x v="2"/>
    <m/>
    <x v="1"/>
    <x v="3"/>
    <n v="57.83"/>
    <n v="690636045"/>
    <n v="52922.302298850576"/>
  </r>
  <r>
    <x v="0"/>
    <s v="145"/>
    <x v="1"/>
    <m/>
    <x v="1"/>
    <x v="3"/>
    <n v="44.21"/>
    <n v="716061114"/>
    <n v="54870.583448275866"/>
  </r>
  <r>
    <x v="0"/>
    <s v="146"/>
    <x v="1"/>
    <m/>
    <x v="1"/>
    <x v="3"/>
    <n v="56.24"/>
    <n v="737425792"/>
    <n v="56507.723524904213"/>
  </r>
  <r>
    <x v="0"/>
    <s v="147"/>
    <x v="1"/>
    <m/>
    <x v="1"/>
    <x v="4"/>
    <n v="54.79"/>
    <n v="738733511"/>
    <n v="56607.931877394636"/>
  </r>
  <r>
    <x v="0"/>
    <s v="148"/>
    <x v="1"/>
    <m/>
    <x v="1"/>
    <x v="4"/>
    <n v="48.9"/>
    <n v="666962348"/>
    <n v="51108.225900383142"/>
  </r>
  <r>
    <x v="0"/>
    <s v="149"/>
    <x v="0"/>
    <m/>
    <x v="1"/>
    <x v="4"/>
    <n v="33.33"/>
    <n v="519558955"/>
    <n v="39812.946743295019"/>
  </r>
  <r>
    <x v="0"/>
    <s v="150"/>
    <x v="2"/>
    <m/>
    <x v="1"/>
    <x v="4"/>
    <n v="57.83"/>
    <n v="731043717"/>
    <n v="56018.675632183906"/>
  </r>
  <r>
    <x v="0"/>
    <s v="151"/>
    <x v="1"/>
    <m/>
    <x v="1"/>
    <x v="4"/>
    <n v="44.21"/>
    <n v="589693415"/>
    <n v="45187.234865900384"/>
  </r>
  <r>
    <x v="0"/>
    <s v="152"/>
    <x v="1"/>
    <m/>
    <x v="1"/>
    <x v="4"/>
    <n v="56.24"/>
    <n v="764668963"/>
    <n v="58595.322835249041"/>
  </r>
  <r>
    <x v="0"/>
    <s v="153"/>
    <x v="1"/>
    <m/>
    <x v="1"/>
    <x v="5"/>
    <n v="54.79"/>
    <n v="670381447"/>
    <n v="51370.225823754787"/>
  </r>
  <r>
    <x v="0"/>
    <s v="154"/>
    <x v="1"/>
    <m/>
    <x v="1"/>
    <x v="5"/>
    <n v="48.9"/>
    <n v="696605119"/>
    <n v="53379.702605363986"/>
  </r>
  <r>
    <x v="0"/>
    <s v="155"/>
    <x v="0"/>
    <m/>
    <x v="1"/>
    <x v="5"/>
    <n v="33.33"/>
    <n v="400594562"/>
    <n v="30696.901302681992"/>
  </r>
  <r>
    <x v="0"/>
    <s v="156"/>
    <x v="2"/>
    <m/>
    <x v="1"/>
    <x v="5"/>
    <n v="57.83"/>
    <n v="740659108"/>
    <n v="56755.487203065131"/>
  </r>
  <r>
    <x v="0"/>
    <s v="157"/>
    <x v="1"/>
    <m/>
    <x v="1"/>
    <x v="5"/>
    <n v="44.21"/>
    <n v="671495728"/>
    <n v="51455.611340996169"/>
  </r>
  <r>
    <x v="0"/>
    <s v="158"/>
    <x v="1"/>
    <m/>
    <x v="1"/>
    <x v="5"/>
    <n v="56.24"/>
    <n v="744650887"/>
    <n v="57061.370651341"/>
  </r>
  <r>
    <x v="0"/>
    <s v="159"/>
    <x v="1"/>
    <m/>
    <x v="1"/>
    <x v="6"/>
    <n v="54.79"/>
    <n v="785444905"/>
    <n v="60187.349042145594"/>
  </r>
  <r>
    <x v="0"/>
    <s v="160"/>
    <x v="1"/>
    <m/>
    <x v="1"/>
    <x v="6"/>
    <n v="48.9"/>
    <n v="708822315"/>
    <n v="54315.886206896554"/>
  </r>
  <r>
    <x v="0"/>
    <s v="161"/>
    <x v="0"/>
    <m/>
    <x v="1"/>
    <x v="6"/>
    <n v="33.33"/>
    <n v="393761154"/>
    <n v="30173.268505747128"/>
  </r>
  <r>
    <x v="0"/>
    <s v="162"/>
    <x v="2"/>
    <m/>
    <x v="1"/>
    <x v="6"/>
    <n v="57.83"/>
    <n v="747924713"/>
    <n v="57312.2385440613"/>
  </r>
  <r>
    <x v="0"/>
    <s v="163"/>
    <x v="1"/>
    <m/>
    <x v="1"/>
    <x v="6"/>
    <n v="44.21"/>
    <n v="601390038"/>
    <n v="46083.527816091955"/>
  </r>
  <r>
    <x v="0"/>
    <s v="164"/>
    <x v="1"/>
    <m/>
    <x v="1"/>
    <x v="6"/>
    <n v="56.24"/>
    <n v="722353001"/>
    <n v="55352.720383141765"/>
  </r>
  <r>
    <x v="0"/>
    <s v="165"/>
    <x v="1"/>
    <m/>
    <x v="1"/>
    <x v="7"/>
    <n v="54.79"/>
    <n v="765802623"/>
    <n v="58682.193333333336"/>
  </r>
  <r>
    <x v="0"/>
    <s v="166"/>
    <x v="1"/>
    <m/>
    <x v="1"/>
    <x v="7"/>
    <n v="48.9"/>
    <n v="655836186"/>
    <n v="50255.646436781608"/>
  </r>
  <r>
    <x v="0"/>
    <s v="167"/>
    <x v="0"/>
    <m/>
    <x v="1"/>
    <x v="7"/>
    <n v="33.33"/>
    <n v="409235979"/>
    <n v="31359.078850574711"/>
  </r>
  <r>
    <x v="0"/>
    <s v="168"/>
    <x v="2"/>
    <m/>
    <x v="1"/>
    <x v="7"/>
    <n v="57.83"/>
    <n v="756935855"/>
    <n v="58002.747509578541"/>
  </r>
  <r>
    <x v="0"/>
    <s v="169"/>
    <x v="1"/>
    <m/>
    <x v="1"/>
    <x v="7"/>
    <n v="44.21"/>
    <n v="611257714"/>
    <n v="46839.671570881226"/>
  </r>
  <r>
    <x v="0"/>
    <s v="170"/>
    <x v="1"/>
    <m/>
    <x v="1"/>
    <x v="7"/>
    <n v="56.24"/>
    <n v="774062681"/>
    <n v="59315.147969348662"/>
  </r>
  <r>
    <x v="0"/>
    <s v="171"/>
    <x v="1"/>
    <m/>
    <x v="1"/>
    <x v="8"/>
    <n v="54.86"/>
    <n v="709326977"/>
    <n v="54354.557624521076"/>
  </r>
  <r>
    <x v="0"/>
    <s v="172"/>
    <x v="1"/>
    <m/>
    <x v="1"/>
    <x v="8"/>
    <n v="48.97"/>
    <n v="701050091"/>
    <n v="53720.313486590036"/>
  </r>
  <r>
    <x v="0"/>
    <s v="173"/>
    <x v="0"/>
    <m/>
    <x v="1"/>
    <x v="8"/>
    <n v="33.4"/>
    <n v="387768113"/>
    <n v="29714.031647509579"/>
  </r>
  <r>
    <x v="0"/>
    <s v="174"/>
    <x v="2"/>
    <m/>
    <x v="1"/>
    <x v="8"/>
    <n v="57.9"/>
    <n v="825760124"/>
    <n v="63276.63785440613"/>
  </r>
  <r>
    <x v="0"/>
    <s v="175"/>
    <x v="1"/>
    <m/>
    <x v="1"/>
    <x v="8"/>
    <n v="44.28"/>
    <n v="529889776"/>
    <n v="40604.580536398469"/>
  </r>
  <r>
    <x v="0"/>
    <s v="176"/>
    <x v="1"/>
    <m/>
    <x v="1"/>
    <x v="8"/>
    <n v="56.31"/>
    <n v="719586079"/>
    <n v="55140.695708812258"/>
  </r>
  <r>
    <x v="0"/>
    <s v="177"/>
    <x v="1"/>
    <m/>
    <x v="1"/>
    <x v="9"/>
    <n v="54.86"/>
    <n v="748752360"/>
    <n v="57375.659770114944"/>
  </r>
  <r>
    <x v="0"/>
    <s v="178"/>
    <x v="1"/>
    <m/>
    <x v="1"/>
    <x v="9"/>
    <n v="48.97"/>
    <n v="597447559"/>
    <n v="45781.422145593868"/>
  </r>
  <r>
    <x v="0"/>
    <s v="179"/>
    <x v="0"/>
    <m/>
    <x v="1"/>
    <x v="9"/>
    <n v="33.4"/>
    <n v="503400960"/>
    <n v="38574.786206896555"/>
  </r>
  <r>
    <x v="0"/>
    <s v="180"/>
    <x v="2"/>
    <m/>
    <x v="1"/>
    <x v="9"/>
    <n v="57.9"/>
    <n v="742390452"/>
    <n v="56888.157241379311"/>
  </r>
  <r>
    <x v="0"/>
    <s v="181"/>
    <x v="1"/>
    <m/>
    <x v="1"/>
    <x v="9"/>
    <n v="44.28"/>
    <n v="552282678"/>
    <n v="42320.511724137934"/>
  </r>
  <r>
    <x v="0"/>
    <s v="182"/>
    <x v="1"/>
    <m/>
    <x v="1"/>
    <x v="9"/>
    <n v="56.31"/>
    <n v="758414415"/>
    <n v="58116.047126436781"/>
  </r>
  <r>
    <x v="0"/>
    <s v="184"/>
    <x v="1"/>
    <m/>
    <x v="1"/>
    <x v="10"/>
    <n v="48.97"/>
    <n v="790123513"/>
    <n v="60545.863065134101"/>
  </r>
  <r>
    <x v="0"/>
    <s v="185"/>
    <x v="0"/>
    <m/>
    <x v="1"/>
    <x v="10"/>
    <n v="33.4"/>
    <n v="494774562"/>
    <n v="37913.759540229883"/>
  </r>
  <r>
    <x v="0"/>
    <s v="186"/>
    <x v="2"/>
    <m/>
    <x v="1"/>
    <x v="10"/>
    <n v="57.9"/>
    <n v="716371157"/>
    <n v="54894.34153256705"/>
  </r>
  <r>
    <x v="0"/>
    <s v="187"/>
    <x v="1"/>
    <m/>
    <x v="1"/>
    <x v="10"/>
    <n v="44.28"/>
    <n v="644760945"/>
    <n v="49406.968965517241"/>
  </r>
  <r>
    <x v="0"/>
    <s v="188"/>
    <x v="1"/>
    <m/>
    <x v="1"/>
    <x v="10"/>
    <n v="56.31"/>
    <n v="759282319"/>
    <n v="58182.553180076626"/>
  </r>
  <r>
    <x v="0"/>
    <s v="189"/>
    <x v="1"/>
    <m/>
    <x v="1"/>
    <x v="11"/>
    <n v="54.86"/>
    <n v="802921733"/>
    <n v="61526.569578544062"/>
  </r>
  <r>
    <x v="0"/>
    <s v="190"/>
    <x v="1"/>
    <m/>
    <x v="1"/>
    <x v="11"/>
    <n v="48.97"/>
    <n v="617300632"/>
    <n v="47302.730421455941"/>
  </r>
  <r>
    <x v="0"/>
    <s v="191"/>
    <x v="0"/>
    <m/>
    <x v="1"/>
    <x v="11"/>
    <n v="33.4"/>
    <n v="399404401"/>
    <n v="30605.701226053639"/>
  </r>
  <r>
    <x v="0"/>
    <s v="192"/>
    <x v="2"/>
    <m/>
    <x v="1"/>
    <x v="11"/>
    <n v="57.9"/>
    <n v="812469726"/>
    <n v="62258.216551724137"/>
  </r>
  <r>
    <x v="0"/>
    <s v="193"/>
    <x v="1"/>
    <m/>
    <x v="1"/>
    <x v="11"/>
    <n v="44.28"/>
    <n v="616976401"/>
    <n v="47277.885134099619"/>
  </r>
  <r>
    <x v="0"/>
    <s v="194"/>
    <x v="1"/>
    <m/>
    <x v="1"/>
    <x v="11"/>
    <n v="56.31"/>
    <n v="738144386"/>
    <n v="56562.788199233713"/>
  </r>
  <r>
    <x v="0"/>
    <s v="195"/>
    <x v="1"/>
    <m/>
    <x v="1"/>
    <x v="12"/>
    <n v="54.86"/>
    <n v="646681549"/>
    <n v="49554.141685823757"/>
  </r>
  <r>
    <x v="0"/>
    <s v="196"/>
    <x v="1"/>
    <m/>
    <x v="1"/>
    <x v="12"/>
    <n v="48.97"/>
    <n v="591444793"/>
    <n v="45321.440076628351"/>
  </r>
  <r>
    <x v="0"/>
    <s v="197"/>
    <x v="0"/>
    <m/>
    <x v="1"/>
    <x v="12"/>
    <n v="33.4"/>
    <n v="457920697"/>
    <n v="35089.708582375482"/>
  </r>
  <r>
    <x v="0"/>
    <s v="198"/>
    <x v="2"/>
    <m/>
    <x v="1"/>
    <x v="12"/>
    <n v="57.9"/>
    <n v="752797723"/>
    <n v="57685.649272030649"/>
  </r>
  <r>
    <x v="0"/>
    <s v="199"/>
    <x v="1"/>
    <m/>
    <x v="1"/>
    <x v="12"/>
    <n v="44.28"/>
    <n v="579865658"/>
    <n v="44434.150038314176"/>
  </r>
  <r>
    <x v="0"/>
    <s v="200"/>
    <x v="1"/>
    <m/>
    <x v="1"/>
    <x v="12"/>
    <n v="56.31"/>
    <n v="655388124"/>
    <n v="50221.312183908049"/>
  </r>
  <r>
    <x v="0"/>
    <s v="201"/>
    <x v="1"/>
    <m/>
    <x v="1"/>
    <x v="13"/>
    <n v="54.68"/>
    <n v="625916531"/>
    <n v="47962.952567049811"/>
  </r>
  <r>
    <x v="0"/>
    <s v="202"/>
    <x v="1"/>
    <m/>
    <x v="1"/>
    <x v="13"/>
    <n v="48.85"/>
    <n v="578339868"/>
    <n v="44317.231264367816"/>
  </r>
  <r>
    <x v="0"/>
    <s v="203"/>
    <x v="0"/>
    <m/>
    <x v="1"/>
    <x v="13"/>
    <n v="33.340000000000003"/>
    <n v="379257345"/>
    <n v="29061.865517241378"/>
  </r>
  <r>
    <x v="0"/>
    <s v="204"/>
    <x v="2"/>
    <m/>
    <x v="1"/>
    <x v="13"/>
    <n v="57.77"/>
    <n v="707308282"/>
    <n v="54199.868352490419"/>
  </r>
  <r>
    <x v="0"/>
    <s v="205"/>
    <x v="1"/>
    <m/>
    <x v="1"/>
    <x v="13"/>
    <n v="44.16"/>
    <n v="621263130"/>
    <n v="47606.370114942525"/>
  </r>
  <r>
    <x v="0"/>
    <s v="206"/>
    <x v="1"/>
    <m/>
    <x v="1"/>
    <x v="13"/>
    <n v="56.19"/>
    <n v="654015832"/>
    <n v="50116.155708812257"/>
  </r>
  <r>
    <x v="0"/>
    <s v="207"/>
    <x v="1"/>
    <m/>
    <x v="1"/>
    <x v="14"/>
    <n v="54.68"/>
    <n v="672063244"/>
    <n v="51499.099157088123"/>
  </r>
  <r>
    <x v="0"/>
    <s v="209"/>
    <x v="0"/>
    <m/>
    <x v="1"/>
    <x v="14"/>
    <n v="33.340000000000003"/>
    <n v="429340114"/>
    <n v="32899.625593869729"/>
  </r>
  <r>
    <x v="0"/>
    <s v="210"/>
    <x v="2"/>
    <m/>
    <x v="1"/>
    <x v="14"/>
    <n v="57.77"/>
    <n v="722867005"/>
    <n v="55392.107662835246"/>
  </r>
  <r>
    <x v="0"/>
    <s v="211"/>
    <x v="1"/>
    <m/>
    <x v="1"/>
    <x v="14"/>
    <n v="44.16"/>
    <n v="538920236"/>
    <n v="41296.569808429122"/>
  </r>
  <r>
    <x v="0"/>
    <s v="212"/>
    <x v="1"/>
    <m/>
    <x v="1"/>
    <x v="14"/>
    <n v="56.19"/>
    <n v="650313202"/>
    <n v="49832.429272030655"/>
  </r>
  <r>
    <x v="0"/>
    <s v="213"/>
    <x v="0"/>
    <m/>
    <x v="2"/>
    <x v="1"/>
    <n v="33.47"/>
    <n v="507148258"/>
    <n v="38861.935478927204"/>
  </r>
  <r>
    <x v="0"/>
    <s v="216"/>
    <x v="1"/>
    <m/>
    <x v="2"/>
    <x v="1"/>
    <n v="45.23"/>
    <n v="662059893"/>
    <n v="50732.558850574715"/>
  </r>
  <r>
    <x v="0"/>
    <s v="218"/>
    <x v="0"/>
    <m/>
    <x v="2"/>
    <x v="1"/>
    <n v="29.23"/>
    <n v="488546756"/>
    <n v="37436.533026819925"/>
  </r>
  <r>
    <x v="0"/>
    <s v="220"/>
    <x v="0"/>
    <m/>
    <x v="2"/>
    <x v="1"/>
    <n v="33.47"/>
    <n v="564521899"/>
    <n v="43258.383065134098"/>
  </r>
  <r>
    <x v="0"/>
    <s v="221"/>
    <x v="0"/>
    <m/>
    <x v="2"/>
    <x v="2"/>
    <n v="33.04"/>
    <n v="496894696"/>
    <n v="38076.221915708811"/>
  </r>
  <r>
    <x v="0"/>
    <s v="222"/>
    <x v="0"/>
    <m/>
    <x v="2"/>
    <x v="2"/>
    <n v="31.47"/>
    <n v="411905372"/>
    <n v="31563.630038314175"/>
  </r>
  <r>
    <x v="0"/>
    <s v="223"/>
    <x v="0"/>
    <m/>
    <x v="2"/>
    <x v="2"/>
    <n v="28.91"/>
    <n v="382013419"/>
    <n v="29273.058927203067"/>
  </r>
  <r>
    <x v="0"/>
    <s v="224"/>
    <x v="1"/>
    <m/>
    <x v="2"/>
    <x v="2"/>
    <n v="44.82"/>
    <n v="658742869"/>
    <n v="50478.380766283524"/>
  </r>
  <r>
    <x v="0"/>
    <s v="228"/>
    <x v="0"/>
    <m/>
    <x v="2"/>
    <x v="2"/>
    <n v="33.04"/>
    <n v="483253976"/>
    <n v="37030.956015325668"/>
  </r>
  <r>
    <x v="0"/>
    <s v="229"/>
    <x v="0"/>
    <m/>
    <x v="2"/>
    <x v="3"/>
    <n v="33.04"/>
    <n v="491183262"/>
    <n v="37638.564137931033"/>
  </r>
  <r>
    <x v="0"/>
    <s v="230"/>
    <x v="0"/>
    <m/>
    <x v="2"/>
    <x v="3"/>
    <n v="31.47"/>
    <n v="503108370"/>
    <n v="38552.365517241378"/>
  </r>
  <r>
    <x v="0"/>
    <s v="231"/>
    <x v="0"/>
    <m/>
    <x v="2"/>
    <x v="3"/>
    <n v="28.91"/>
    <n v="394626551"/>
    <n v="30239.582452107279"/>
  </r>
  <r>
    <x v="0"/>
    <s v="232"/>
    <x v="1"/>
    <m/>
    <x v="2"/>
    <x v="3"/>
    <n v="40.380000000000003"/>
    <n v="580463498"/>
    <n v="44479.961532567053"/>
  </r>
  <r>
    <x v="0"/>
    <s v="233"/>
    <x v="1"/>
    <m/>
    <x v="2"/>
    <x v="3"/>
    <n v="48.49"/>
    <n v="727014649"/>
    <n v="55709.934789272033"/>
  </r>
  <r>
    <x v="0"/>
    <s v="234"/>
    <x v="0"/>
    <m/>
    <x v="2"/>
    <x v="3"/>
    <n v="28.91"/>
    <n v="394626551"/>
    <n v="30239.582452107279"/>
  </r>
  <r>
    <x v="0"/>
    <s v="236"/>
    <x v="0"/>
    <m/>
    <x v="2"/>
    <x v="3"/>
    <n v="33.04"/>
    <n v="505730905"/>
    <n v="38753.326053639845"/>
  </r>
  <r>
    <x v="0"/>
    <s v="237"/>
    <x v="0"/>
    <m/>
    <x v="2"/>
    <x v="4"/>
    <n v="33.04"/>
    <n v="536683066"/>
    <n v="41125.139157088124"/>
  </r>
  <r>
    <x v="0"/>
    <s v="239"/>
    <x v="0"/>
    <m/>
    <x v="2"/>
    <x v="4"/>
    <n v="28.91"/>
    <n v="420262355"/>
    <n v="32204.011877394634"/>
  </r>
  <r>
    <x v="0"/>
    <s v="240"/>
    <x v="1"/>
    <m/>
    <x v="2"/>
    <x v="4"/>
    <n v="40.380000000000003"/>
    <n v="589714560"/>
    <n v="45188.855172413794"/>
  </r>
  <r>
    <x v="0"/>
    <s v="241"/>
    <x v="1"/>
    <m/>
    <x v="2"/>
    <x v="4"/>
    <n v="48.49"/>
    <n v="698799327"/>
    <n v="53547.841149425287"/>
  </r>
  <r>
    <x v="0"/>
    <s v="242"/>
    <x v="0"/>
    <m/>
    <x v="2"/>
    <x v="4"/>
    <n v="28.91"/>
    <n v="422276812"/>
    <n v="32358.376398467433"/>
  </r>
  <r>
    <x v="0"/>
    <s v="243"/>
    <x v="0"/>
    <m/>
    <x v="2"/>
    <x v="4"/>
    <n v="31.47"/>
    <n v="442172759"/>
    <n v="33882.970038314175"/>
  </r>
  <r>
    <x v="0"/>
    <s v="244"/>
    <x v="0"/>
    <m/>
    <x v="2"/>
    <x v="4"/>
    <n v="33.04"/>
    <n v="505206945"/>
    <n v="38713.175862068965"/>
  </r>
  <r>
    <x v="0"/>
    <s v="245"/>
    <x v="0"/>
    <m/>
    <x v="2"/>
    <x v="5"/>
    <n v="33.04"/>
    <n v="483629443"/>
    <n v="37059.727432950189"/>
  </r>
  <r>
    <x v="0"/>
    <s v="247"/>
    <x v="0"/>
    <m/>
    <x v="2"/>
    <x v="5"/>
    <n v="28.91"/>
    <n v="470425778"/>
    <n v="36047.952337164752"/>
  </r>
  <r>
    <x v="0"/>
    <s v="248"/>
    <x v="1"/>
    <m/>
    <x v="2"/>
    <x v="5"/>
    <n v="40.380000000000003"/>
    <n v="653528987"/>
    <n v="50078.849578544061"/>
  </r>
  <r>
    <x v="0"/>
    <s v="249"/>
    <x v="1"/>
    <m/>
    <x v="2"/>
    <x v="5"/>
    <n v="48.49"/>
    <n v="748055361"/>
    <n v="57322.24988505747"/>
  </r>
  <r>
    <x v="0"/>
    <s v="250"/>
    <x v="0"/>
    <m/>
    <x v="2"/>
    <x v="5"/>
    <n v="28.91"/>
    <n v="357316322"/>
    <n v="27380.561072796936"/>
  </r>
  <r>
    <x v="0"/>
    <s v="252"/>
    <x v="0"/>
    <m/>
    <x v="2"/>
    <x v="5"/>
    <n v="33.04"/>
    <n v="441574709"/>
    <n v="33837.142452107277"/>
  </r>
  <r>
    <x v="0"/>
    <s v="253"/>
    <x v="0"/>
    <m/>
    <x v="2"/>
    <x v="6"/>
    <n v="33.04"/>
    <n v="434677744"/>
    <n v="33308.639386973176"/>
  </r>
  <r>
    <x v="0"/>
    <s v="255"/>
    <x v="0"/>
    <m/>
    <x v="2"/>
    <x v="6"/>
    <n v="28.91"/>
    <n v="382377860"/>
    <n v="29300.985440613025"/>
  </r>
  <r>
    <x v="0"/>
    <s v="256"/>
    <x v="1"/>
    <m/>
    <x v="2"/>
    <x v="6"/>
    <n v="40.380000000000003"/>
    <n v="591673818"/>
    <n v="45338.989885057468"/>
  </r>
  <r>
    <x v="0"/>
    <s v="257"/>
    <x v="1"/>
    <m/>
    <x v="2"/>
    <x v="6"/>
    <n v="48.49"/>
    <n v="702879224"/>
    <n v="53860.476934865903"/>
  </r>
  <r>
    <x v="0"/>
    <s v="258"/>
    <x v="0"/>
    <m/>
    <x v="2"/>
    <x v="6"/>
    <n v="28.91"/>
    <n v="442495762"/>
    <n v="33907.72122605364"/>
  </r>
  <r>
    <x v="0"/>
    <s v="260"/>
    <x v="0"/>
    <m/>
    <x v="2"/>
    <x v="6"/>
    <n v="33.04"/>
    <n v="452051030"/>
    <n v="34639.925670498087"/>
  </r>
  <r>
    <x v="0"/>
    <s v="261"/>
    <x v="0"/>
    <m/>
    <x v="2"/>
    <x v="7"/>
    <n v="33.04"/>
    <n v="505243450"/>
    <n v="38715.973180076631"/>
  </r>
  <r>
    <x v="0"/>
    <s v="263"/>
    <x v="0"/>
    <m/>
    <x v="2"/>
    <x v="7"/>
    <n v="28.91"/>
    <n v="461448501"/>
    <n v="35360.038390804599"/>
  </r>
  <r>
    <x v="0"/>
    <s v="264"/>
    <x v="1"/>
    <m/>
    <x v="2"/>
    <x v="7"/>
    <n v="40.380000000000003"/>
    <n v="554682525"/>
    <n v="42504.408045977012"/>
  </r>
  <r>
    <x v="0"/>
    <s v="265"/>
    <x v="1"/>
    <m/>
    <x v="2"/>
    <x v="7"/>
    <n v="48.49"/>
    <n v="587401483"/>
    <n v="45011.607892720305"/>
  </r>
  <r>
    <x v="0"/>
    <s v="266"/>
    <x v="0"/>
    <m/>
    <x v="2"/>
    <x v="7"/>
    <n v="28.91"/>
    <n v="369125825"/>
    <n v="28285.503831417624"/>
  </r>
  <r>
    <x v="0"/>
    <s v="268"/>
    <x v="0"/>
    <m/>
    <x v="2"/>
    <x v="7"/>
    <n v="33.04"/>
    <n v="517407805"/>
    <n v="39648.107662835246"/>
  </r>
  <r>
    <x v="0"/>
    <s v="269"/>
    <x v="0"/>
    <m/>
    <x v="2"/>
    <x v="8"/>
    <n v="33.11"/>
    <n v="499534310"/>
    <n v="38278.491187739462"/>
  </r>
  <r>
    <x v="0"/>
    <s v="271"/>
    <x v="0"/>
    <m/>
    <x v="2"/>
    <x v="8"/>
    <n v="29.04"/>
    <n v="411034028"/>
    <n v="31496.860383141764"/>
  </r>
  <r>
    <x v="0"/>
    <s v="272"/>
    <x v="1"/>
    <m/>
    <x v="2"/>
    <x v="8"/>
    <n v="40.44"/>
    <n v="512179045"/>
    <n v="39247.436398467435"/>
  </r>
  <r>
    <x v="0"/>
    <s v="273"/>
    <x v="1"/>
    <m/>
    <x v="2"/>
    <x v="8"/>
    <n v="48.55"/>
    <n v="687563889"/>
    <n v="52686.888045977008"/>
  </r>
  <r>
    <x v="0"/>
    <s v="274"/>
    <x v="0"/>
    <m/>
    <x v="2"/>
    <x v="8"/>
    <n v="29.04"/>
    <n v="408842549"/>
    <n v="31328.930957854405"/>
  </r>
  <r>
    <x v="0"/>
    <s v="276"/>
    <x v="0"/>
    <m/>
    <x v="2"/>
    <x v="8"/>
    <n v="33.11"/>
    <n v="491108690"/>
    <n v="37632.84980842912"/>
  </r>
  <r>
    <x v="0"/>
    <s v="279"/>
    <x v="0"/>
    <m/>
    <x v="2"/>
    <x v="9"/>
    <n v="29.04"/>
    <n v="374213078"/>
    <n v="28675.331647509578"/>
  </r>
  <r>
    <x v="0"/>
    <s v="280"/>
    <x v="1"/>
    <m/>
    <x v="2"/>
    <x v="9"/>
    <n v="40.44"/>
    <n v="478539349"/>
    <n v="36669.68191570881"/>
  </r>
  <r>
    <x v="0"/>
    <s v="282"/>
    <x v="0"/>
    <m/>
    <x v="2"/>
    <x v="9"/>
    <n v="29.04"/>
    <n v="461136363"/>
    <n v="35336.119770114943"/>
  </r>
  <r>
    <x v="0"/>
    <s v="284"/>
    <x v="0"/>
    <m/>
    <x v="2"/>
    <x v="9"/>
    <n v="33.11"/>
    <n v="467188666"/>
    <n v="35799.897777777776"/>
  </r>
  <r>
    <x v="0"/>
    <s v="285"/>
    <x v="0"/>
    <m/>
    <x v="2"/>
    <x v="10"/>
    <n v="33.11"/>
    <n v="479088416"/>
    <n v="36711.756015325671"/>
  </r>
  <r>
    <x v="0"/>
    <s v="287"/>
    <x v="0"/>
    <m/>
    <x v="2"/>
    <x v="10"/>
    <n v="29.04"/>
    <n v="385131905"/>
    <n v="29512.023371647509"/>
  </r>
  <r>
    <x v="0"/>
    <s v="288"/>
    <x v="1"/>
    <m/>
    <x v="2"/>
    <x v="10"/>
    <n v="40.44"/>
    <n v="564285604"/>
    <n v="43240.276168582379"/>
  </r>
  <r>
    <x v="0"/>
    <s v="289"/>
    <x v="1"/>
    <m/>
    <x v="2"/>
    <x v="10"/>
    <n v="48.55"/>
    <n v="676786903"/>
    <n v="51861.065363984671"/>
  </r>
  <r>
    <x v="0"/>
    <s v="290"/>
    <x v="0"/>
    <m/>
    <x v="2"/>
    <x v="10"/>
    <n v="29.04"/>
    <n v="429682622"/>
    <n v="32925.871417624519"/>
  </r>
  <r>
    <x v="0"/>
    <s v="292"/>
    <x v="0"/>
    <m/>
    <x v="2"/>
    <x v="10"/>
    <n v="33.11"/>
    <n v="443411619"/>
    <n v="33977.901839080463"/>
  </r>
  <r>
    <x v="0"/>
    <s v="293"/>
    <x v="0"/>
    <m/>
    <x v="2"/>
    <x v="11"/>
    <n v="33.11"/>
    <n v="486195750"/>
    <n v="37256.379310344826"/>
  </r>
  <r>
    <x v="0"/>
    <s v="295"/>
    <x v="0"/>
    <m/>
    <x v="2"/>
    <x v="11"/>
    <n v="29.04"/>
    <n v="376219649"/>
    <n v="28829.091877394636"/>
  </r>
  <r>
    <x v="0"/>
    <s v="296"/>
    <x v="1"/>
    <m/>
    <x v="2"/>
    <x v="11"/>
    <n v="40.44"/>
    <n v="567491980"/>
    <n v="43485.975478927205"/>
  </r>
  <r>
    <x v="0"/>
    <s v="297"/>
    <x v="1"/>
    <m/>
    <x v="2"/>
    <x v="11"/>
    <n v="48.55"/>
    <n v="659180660"/>
    <n v="50511.927969348661"/>
  </r>
  <r>
    <x v="0"/>
    <s v="298"/>
    <x v="0"/>
    <m/>
    <x v="2"/>
    <x v="11"/>
    <n v="29.04"/>
    <n v="374332485"/>
    <n v="28684.481609195402"/>
  </r>
  <r>
    <x v="0"/>
    <s v="303"/>
    <x v="0"/>
    <m/>
    <x v="2"/>
    <x v="12"/>
    <n v="29.04"/>
    <n v="399969479"/>
    <n v="30649.002222222221"/>
  </r>
  <r>
    <x v="0"/>
    <s v="304"/>
    <x v="1"/>
    <m/>
    <x v="2"/>
    <x v="12"/>
    <n v="40.44"/>
    <n v="516948606"/>
    <n v="39612.92"/>
  </r>
  <r>
    <x v="0"/>
    <s v="305"/>
    <x v="1"/>
    <m/>
    <x v="2"/>
    <x v="12"/>
    <n v="48.55"/>
    <n v="647704608"/>
    <n v="49632.537011494256"/>
  </r>
  <r>
    <x v="0"/>
    <s v="306"/>
    <x v="0"/>
    <m/>
    <x v="2"/>
    <x v="12"/>
    <n v="29.04"/>
    <n v="404692983"/>
    <n v="31010.956551724139"/>
  </r>
  <r>
    <x v="0"/>
    <s v="309"/>
    <x v="0"/>
    <m/>
    <x v="2"/>
    <x v="13"/>
    <n v="33.11"/>
    <n v="509819357"/>
    <n v="39066.617394636014"/>
  </r>
  <r>
    <x v="0"/>
    <s v="311"/>
    <x v="0"/>
    <m/>
    <x v="2"/>
    <x v="13"/>
    <n v="29.04"/>
    <n v="399969479"/>
    <n v="30649.002222222221"/>
  </r>
  <r>
    <x v="0"/>
    <s v="312"/>
    <x v="1"/>
    <m/>
    <x v="2"/>
    <x v="13"/>
    <n v="40.44"/>
    <n v="508493433"/>
    <n v="38965.014022988507"/>
  </r>
  <r>
    <x v="0"/>
    <s v="314"/>
    <x v="0"/>
    <m/>
    <x v="2"/>
    <x v="13"/>
    <n v="29.04"/>
    <n v="359450254"/>
    <n v="27544.080766283525"/>
  </r>
  <r>
    <x v="0"/>
    <s v="316"/>
    <x v="0"/>
    <m/>
    <x v="2"/>
    <x v="13"/>
    <n v="33.11"/>
    <n v="432711184"/>
    <n v="33157.945134099617"/>
  </r>
  <r>
    <x v="0"/>
    <s v="317"/>
    <x v="0"/>
    <m/>
    <x v="2"/>
    <x v="14"/>
    <n v="33"/>
    <n v="387372284"/>
    <n v="29683.699923371649"/>
  </r>
  <r>
    <x v="0"/>
    <s v="319"/>
    <x v="0"/>
    <m/>
    <x v="2"/>
    <x v="14"/>
    <n v="28.99"/>
    <n v="376664312"/>
    <n v="28863.165670498085"/>
  </r>
  <r>
    <x v="0"/>
    <s v="320"/>
    <x v="1"/>
    <m/>
    <x v="2"/>
    <x v="14"/>
    <n v="40.33"/>
    <n v="495905046"/>
    <n v="38000.386666666665"/>
  </r>
  <r>
    <x v="0"/>
    <s v="321"/>
    <x v="1"/>
    <m/>
    <x v="2"/>
    <x v="14"/>
    <n v="48.44"/>
    <n v="581223182"/>
    <n v="44538.174865900386"/>
  </r>
  <r>
    <x v="0"/>
    <s v="322"/>
    <x v="0"/>
    <m/>
    <x v="2"/>
    <x v="14"/>
    <n v="28.99"/>
    <n v="368564004"/>
    <n v="28242.452413793104"/>
  </r>
  <r>
    <x v="0"/>
    <s v="324"/>
    <x v="0"/>
    <m/>
    <x v="2"/>
    <x v="14"/>
    <n v="33"/>
    <n v="437077682"/>
    <n v="33492.542681992338"/>
  </r>
  <r>
    <x v="0"/>
    <s v="327"/>
    <x v="0"/>
    <m/>
    <x v="2"/>
    <x v="15"/>
    <n v="28.99"/>
    <n v="331070186"/>
    <n v="25369.362911877393"/>
  </r>
  <r>
    <x v="0"/>
    <s v="328"/>
    <x v="1"/>
    <m/>
    <x v="2"/>
    <x v="15"/>
    <n v="40.33"/>
    <n v="470752746"/>
    <n v="36073.007356321839"/>
  </r>
  <r>
    <x v="0"/>
    <s v="329"/>
    <x v="1"/>
    <m/>
    <x v="2"/>
    <x v="15"/>
    <n v="48.44"/>
    <n v="546079660"/>
    <n v="41845.184674329503"/>
  </r>
  <r>
    <x v="0"/>
    <s v="330"/>
    <x v="0"/>
    <m/>
    <x v="2"/>
    <x v="15"/>
    <n v="28.99"/>
    <n v="352160297"/>
    <n v="26985.463371647511"/>
  </r>
  <r>
    <x v="1"/>
    <s v="1"/>
    <x v="0"/>
    <m/>
    <x v="0"/>
    <x v="1"/>
    <n v="33.47"/>
    <n v="564942601"/>
    <n v="43290.620766283522"/>
  </r>
  <r>
    <x v="1"/>
    <s v="4"/>
    <x v="1"/>
    <m/>
    <x v="0"/>
    <x v="1"/>
    <n v="45.23"/>
    <n v="680187589"/>
    <n v="52121.654329501915"/>
  </r>
  <r>
    <x v="1"/>
    <s v="7"/>
    <x v="0"/>
    <m/>
    <x v="0"/>
    <x v="1"/>
    <n v="31.77"/>
    <n v="518563395"/>
    <n v="39736.658620689654"/>
  </r>
  <r>
    <x v="1"/>
    <s v="9"/>
    <x v="0"/>
    <m/>
    <x v="0"/>
    <x v="2"/>
    <n v="33.04"/>
    <n v="522588602"/>
    <n v="40045.103601532566"/>
  </r>
  <r>
    <x v="1"/>
    <s v="10"/>
    <x v="0"/>
    <m/>
    <x v="0"/>
    <x v="2"/>
    <n v="31.47"/>
    <n v="493243500"/>
    <n v="37796.436781609198"/>
  </r>
  <r>
    <x v="1"/>
    <s v="11"/>
    <x v="0"/>
    <m/>
    <x v="0"/>
    <x v="2"/>
    <n v="28.91"/>
    <n v="421403835"/>
    <n v="32291.481609195402"/>
  </r>
  <r>
    <x v="1"/>
    <s v="12"/>
    <x v="1"/>
    <m/>
    <x v="0"/>
    <x v="2"/>
    <n v="44.82"/>
    <n v="586605646"/>
    <n v="44950.624214559386"/>
  </r>
  <r>
    <x v="1"/>
    <s v="16"/>
    <x v="0"/>
    <m/>
    <x v="0"/>
    <x v="2"/>
    <n v="33.04"/>
    <n v="516969369"/>
    <n v="39614.511034482755"/>
  </r>
  <r>
    <x v="1"/>
    <s v="17"/>
    <x v="0"/>
    <m/>
    <x v="0"/>
    <x v="3"/>
    <n v="33.04"/>
    <n v="528207834"/>
    <n v="40475.696091954022"/>
  </r>
  <r>
    <x v="1"/>
    <s v="18"/>
    <x v="0"/>
    <m/>
    <x v="0"/>
    <x v="3"/>
    <n v="31.47"/>
    <n v="465642853"/>
    <n v="35681.444674329505"/>
  </r>
  <r>
    <x v="1"/>
    <s v="19"/>
    <x v="0"/>
    <m/>
    <x v="0"/>
    <x v="3"/>
    <n v="28.91"/>
    <n v="431851174"/>
    <n v="33092.043984674332"/>
  </r>
  <r>
    <x v="1"/>
    <s v="20"/>
    <x v="1"/>
    <m/>
    <x v="0"/>
    <x v="3"/>
    <n v="40.380000000000003"/>
    <n v="581337786"/>
    <n v="44546.956781609195"/>
  </r>
  <r>
    <x v="1"/>
    <s v="21"/>
    <x v="1"/>
    <m/>
    <x v="0"/>
    <x v="3"/>
    <n v="48.49"/>
    <n v="759879704"/>
    <n v="58228.329808429116"/>
  </r>
  <r>
    <x v="1"/>
    <s v="22"/>
    <x v="0"/>
    <m/>
    <x v="0"/>
    <x v="3"/>
    <n v="28.91"/>
    <n v="450390328"/>
    <n v="34512.668812260534"/>
  </r>
  <r>
    <x v="1"/>
    <s v="24"/>
    <x v="0"/>
    <m/>
    <x v="0"/>
    <x v="3"/>
    <n v="33.04"/>
    <n v="516969369"/>
    <n v="39614.511034482755"/>
  </r>
  <r>
    <x v="1"/>
    <s v="25"/>
    <x v="0"/>
    <m/>
    <x v="0"/>
    <x v="4"/>
    <n v="33.04"/>
    <n v="515193857"/>
    <n v="39478.456475095787"/>
  </r>
  <r>
    <x v="1"/>
    <s v="26"/>
    <x v="0"/>
    <m/>
    <x v="0"/>
    <x v="4"/>
    <n v="31.47"/>
    <n v="458481815"/>
    <n v="35132.706130268198"/>
  </r>
  <r>
    <x v="1"/>
    <s v="27"/>
    <x v="0"/>
    <m/>
    <x v="0"/>
    <x v="4"/>
    <n v="28.91"/>
    <n v="425149126"/>
    <n v="32578.477088122607"/>
  </r>
  <r>
    <x v="1"/>
    <s v="28"/>
    <x v="1"/>
    <m/>
    <x v="0"/>
    <x v="4"/>
    <n v="40.380000000000003"/>
    <n v="595558816"/>
    <n v="45636.690881226052"/>
  </r>
  <r>
    <x v="1"/>
    <s v="29"/>
    <x v="1"/>
    <m/>
    <x v="0"/>
    <x v="4"/>
    <n v="48.49"/>
    <n v="661985068"/>
    <n v="50726.825134099614"/>
  </r>
  <r>
    <x v="1"/>
    <s v="32"/>
    <x v="0"/>
    <m/>
    <x v="0"/>
    <x v="4"/>
    <n v="33.04"/>
    <n v="481354915"/>
    <n v="36885.434099616861"/>
  </r>
  <r>
    <x v="1"/>
    <s v="33"/>
    <x v="0"/>
    <m/>
    <x v="0"/>
    <x v="5"/>
    <n v="33.04"/>
    <n v="470968629"/>
    <n v="36089.550114942525"/>
  </r>
  <r>
    <x v="1"/>
    <s v="34"/>
    <x v="0"/>
    <m/>
    <x v="0"/>
    <x v="5"/>
    <n v="31.47"/>
    <n v="474291532"/>
    <n v="36344.178697318006"/>
  </r>
  <r>
    <x v="1"/>
    <s v="35"/>
    <x v="0"/>
    <m/>
    <x v="0"/>
    <x v="5"/>
    <n v="28.91"/>
    <n v="439809441"/>
    <n v="33701.872873563218"/>
  </r>
  <r>
    <x v="1"/>
    <s v="36"/>
    <x v="1"/>
    <m/>
    <x v="0"/>
    <x v="5"/>
    <n v="40.380000000000003"/>
    <n v="568223326"/>
    <n v="43542.01731800766"/>
  </r>
  <r>
    <x v="1"/>
    <s v="37"/>
    <x v="1"/>
    <m/>
    <x v="0"/>
    <x v="5"/>
    <n v="48.49"/>
    <n v="720202582"/>
    <n v="55187.937318007665"/>
  </r>
  <r>
    <x v="1"/>
    <s v="38"/>
    <x v="0"/>
    <m/>
    <x v="0"/>
    <x v="5"/>
    <n v="28.91"/>
    <n v="436605287"/>
    <n v="33456.343831417624"/>
  </r>
  <r>
    <x v="1"/>
    <s v="39"/>
    <x v="0"/>
    <m/>
    <x v="0"/>
    <x v="5"/>
    <n v="31.47"/>
    <n v="487729342"/>
    <n v="37373.895938697315"/>
  </r>
  <r>
    <x v="1"/>
    <s v="40"/>
    <x v="0"/>
    <m/>
    <x v="0"/>
    <x v="5"/>
    <n v="33.04"/>
    <n v="495719175"/>
    <n v="37986.143678160923"/>
  </r>
  <r>
    <x v="1"/>
    <s v="41"/>
    <x v="0"/>
    <m/>
    <x v="0"/>
    <x v="6"/>
    <n v="33.04"/>
    <n v="481968723"/>
    <n v="36932.4691954023"/>
  </r>
  <r>
    <x v="1"/>
    <s v="44"/>
    <x v="1"/>
    <m/>
    <x v="0"/>
    <x v="6"/>
    <n v="40.380000000000003"/>
    <n v="565190840"/>
    <n v="43309.642911877396"/>
  </r>
  <r>
    <x v="1"/>
    <s v="45"/>
    <x v="1"/>
    <m/>
    <x v="0"/>
    <x v="6"/>
    <n v="48.49"/>
    <n v="721022219"/>
    <n v="55250.744750957856"/>
  </r>
  <r>
    <x v="1"/>
    <s v="48"/>
    <x v="0"/>
    <m/>
    <x v="0"/>
    <x v="6"/>
    <n v="33.04"/>
    <n v="501068611"/>
    <n v="38396.062145593867"/>
  </r>
  <r>
    <x v="1"/>
    <s v="49"/>
    <x v="0"/>
    <m/>
    <x v="0"/>
    <x v="7"/>
    <n v="33.04"/>
    <n v="484539725"/>
    <n v="37129.480842911878"/>
  </r>
  <r>
    <x v="1"/>
    <s v="52"/>
    <x v="1"/>
    <m/>
    <x v="0"/>
    <x v="7"/>
    <n v="40.380000000000003"/>
    <n v="493698901"/>
    <n v="37831.333409961684"/>
  </r>
  <r>
    <x v="1"/>
    <s v="53"/>
    <x v="1"/>
    <m/>
    <x v="0"/>
    <x v="7"/>
    <n v="48.49"/>
    <n v="694783668"/>
    <n v="53240.127816091954"/>
  </r>
  <r>
    <x v="1"/>
    <s v="56"/>
    <x v="0"/>
    <m/>
    <x v="0"/>
    <x v="7"/>
    <n v="33.04"/>
    <n v="505243450"/>
    <n v="38715.973180076631"/>
  </r>
  <r>
    <x v="1"/>
    <s v="57"/>
    <x v="0"/>
    <m/>
    <x v="0"/>
    <x v="8"/>
    <n v="33.11"/>
    <n v="466348684"/>
    <n v="35735.531340996167"/>
  </r>
  <r>
    <x v="1"/>
    <s v="60"/>
    <x v="1"/>
    <m/>
    <x v="0"/>
    <x v="8"/>
    <n v="40.44"/>
    <n v="550820954"/>
    <n v="42208.502222222225"/>
  </r>
  <r>
    <x v="1"/>
    <s v="64"/>
    <x v="0"/>
    <m/>
    <x v="0"/>
    <x v="8"/>
    <n v="33.11"/>
    <n v="443065449"/>
    <n v="33951.375402298851"/>
  </r>
  <r>
    <x v="1"/>
    <s v="65"/>
    <x v="0"/>
    <m/>
    <x v="0"/>
    <x v="9"/>
    <n v="33.11"/>
    <n v="446424725"/>
    <n v="34208.791187739465"/>
  </r>
  <r>
    <x v="1"/>
    <s v="68"/>
    <x v="1"/>
    <m/>
    <x v="0"/>
    <x v="9"/>
    <n v="40.44"/>
    <n v="550068709"/>
    <n v="42150.858927203066"/>
  </r>
  <r>
    <x v="1"/>
    <s v="72"/>
    <x v="0"/>
    <m/>
    <x v="0"/>
    <x v="9"/>
    <n v="33.11"/>
    <n v="468206506"/>
    <n v="35877.89318007663"/>
  </r>
  <r>
    <x v="1"/>
    <s v="76"/>
    <x v="1"/>
    <m/>
    <x v="0"/>
    <x v="10"/>
    <n v="40.44"/>
    <n v="541697611"/>
    <n v="41509.395478927203"/>
  </r>
  <r>
    <x v="1"/>
    <s v="77"/>
    <x v="1"/>
    <m/>
    <x v="0"/>
    <x v="10"/>
    <n v="48.55"/>
    <n v="677323348"/>
    <n v="51902.172260536398"/>
  </r>
  <r>
    <x v="1"/>
    <s v="80"/>
    <x v="0"/>
    <m/>
    <x v="0"/>
    <x v="10"/>
    <n v="33.11"/>
    <n v="443411619"/>
    <n v="33977.901839080463"/>
  </r>
  <r>
    <x v="1"/>
    <s v="83"/>
    <x v="0"/>
    <m/>
    <x v="0"/>
    <x v="11"/>
    <n v="29.04"/>
    <n v="367906875"/>
    <n v="28192.097701149425"/>
  </r>
  <r>
    <x v="1"/>
    <s v="84"/>
    <x v="1"/>
    <m/>
    <x v="0"/>
    <x v="11"/>
    <n v="40.44"/>
    <n v="529569240"/>
    <n v="40580.018390804595"/>
  </r>
  <r>
    <x v="1"/>
    <s v="85"/>
    <x v="1"/>
    <m/>
    <x v="0"/>
    <x v="11"/>
    <n v="48.55"/>
    <n v="585650934"/>
    <n v="44877.466206896548"/>
  </r>
  <r>
    <x v="1"/>
    <s v="86"/>
    <x v="0"/>
    <m/>
    <x v="0"/>
    <x v="11"/>
    <n v="29.04"/>
    <n v="356889584"/>
    <n v="27347.860842911876"/>
  </r>
  <r>
    <x v="1"/>
    <s v="88"/>
    <x v="0"/>
    <m/>
    <x v="0"/>
    <x v="11"/>
    <n v="33.11"/>
    <n v="502049959"/>
    <n v="38471.261226053641"/>
  </r>
  <r>
    <x v="1"/>
    <s v="92"/>
    <x v="1"/>
    <m/>
    <x v="0"/>
    <x v="12"/>
    <n v="40.44"/>
    <n v="538656497"/>
    <n v="41276.359923371645"/>
  </r>
  <r>
    <x v="1"/>
    <s v="96"/>
    <x v="0"/>
    <m/>
    <x v="0"/>
    <x v="12"/>
    <n v="33.11"/>
    <n v="437878213"/>
    <n v="33553.88605363985"/>
  </r>
  <r>
    <x v="1"/>
    <s v="97"/>
    <x v="0"/>
    <m/>
    <x v="0"/>
    <x v="13"/>
    <n v="33.11"/>
    <n v="452495843"/>
    <n v="34674.010957854407"/>
  </r>
  <r>
    <x v="1"/>
    <s v="99"/>
    <x v="0"/>
    <m/>
    <x v="0"/>
    <x v="13"/>
    <n v="29.04"/>
    <n v="349646437"/>
    <n v="26792.830421455939"/>
  </r>
  <r>
    <x v="1"/>
    <s v="100"/>
    <x v="1"/>
    <m/>
    <x v="0"/>
    <x v="13"/>
    <n v="40.44"/>
    <n v="503526726"/>
    <n v="38584.423448275862"/>
  </r>
  <r>
    <x v="1"/>
    <s v="101"/>
    <x v="1"/>
    <m/>
    <x v="0"/>
    <x v="13"/>
    <n v="48.55"/>
    <n v="659246609"/>
    <n v="50516.98153256705"/>
  </r>
  <r>
    <x v="1"/>
    <s v="104"/>
    <x v="0"/>
    <m/>
    <x v="0"/>
    <x v="13"/>
    <n v="33.11"/>
    <n v="447296954"/>
    <n v="34275.628659003829"/>
  </r>
  <r>
    <x v="1"/>
    <s v="107"/>
    <x v="0"/>
    <m/>
    <x v="0"/>
    <x v="14"/>
    <n v="28.99"/>
    <n v="347017185"/>
    <n v="26591.355172413794"/>
  </r>
  <r>
    <x v="1"/>
    <s v="108"/>
    <x v="1"/>
    <m/>
    <x v="0"/>
    <x v="14"/>
    <n v="40.33"/>
    <n v="520222267"/>
    <n v="39863.775249042148"/>
  </r>
  <r>
    <x v="1"/>
    <s v="112"/>
    <x v="0"/>
    <m/>
    <x v="0"/>
    <x v="14"/>
    <n v="33"/>
    <n v="408572615"/>
    <n v="31308.246360153258"/>
  </r>
  <r>
    <x v="1"/>
    <s v="115"/>
    <x v="0"/>
    <m/>
    <x v="0"/>
    <x v="15"/>
    <n v="28.99"/>
    <n v="339328710"/>
    <n v="26002.2"/>
  </r>
  <r>
    <x v="1"/>
    <s v="116"/>
    <x v="1"/>
    <m/>
    <x v="0"/>
    <x v="15"/>
    <n v="40.33"/>
    <n v="458944988"/>
    <n v="35168.198314176247"/>
  </r>
  <r>
    <x v="1"/>
    <s v="117"/>
    <x v="1"/>
    <m/>
    <x v="0"/>
    <x v="15"/>
    <n v="48.44"/>
    <n v="557883172"/>
    <n v="42749.668352490422"/>
  </r>
  <r>
    <x v="1"/>
    <s v="118"/>
    <x v="0"/>
    <m/>
    <x v="0"/>
    <x v="15"/>
    <n v="28.99"/>
    <n v="369065896"/>
    <n v="28280.911570881228"/>
  </r>
  <r>
    <x v="1"/>
    <s v="124"/>
    <x v="0"/>
    <m/>
    <x v="1"/>
    <x v="1"/>
    <n v="33.6"/>
    <n v="519669279"/>
    <n v="39821.400689655173"/>
  </r>
  <r>
    <x v="1"/>
    <s v="127"/>
    <x v="1"/>
    <m/>
    <x v="1"/>
    <x v="2"/>
    <n v="56.24"/>
    <n v="791782845"/>
    <n v="60673.014942528738"/>
  </r>
  <r>
    <x v="1"/>
    <s v="128"/>
    <x v="1"/>
    <m/>
    <x v="1"/>
    <x v="2"/>
    <n v="44.21"/>
    <n v="637380697"/>
    <n v="48841.432720306511"/>
  </r>
  <r>
    <x v="1"/>
    <s v="130"/>
    <x v="0"/>
    <m/>
    <x v="1"/>
    <x v="2"/>
    <n v="33.33"/>
    <n v="523717938"/>
    <n v="40131.642758620692"/>
  </r>
  <r>
    <x v="1"/>
    <s v="135"/>
    <x v="2"/>
    <m/>
    <x v="1"/>
    <x v="3"/>
    <n v="57.83"/>
    <n v="888782054"/>
    <n v="68105.904521072793"/>
  </r>
  <r>
    <x v="1"/>
    <s v="136"/>
    <x v="0"/>
    <m/>
    <x v="1"/>
    <x v="3"/>
    <n v="33.33"/>
    <n v="443556480"/>
    <n v="33989.002298850573"/>
  </r>
  <r>
    <x v="1"/>
    <s v="138"/>
    <x v="1"/>
    <m/>
    <x v="1"/>
    <x v="3"/>
    <n v="54.79"/>
    <n v="761908192"/>
    <n v="58383.769501915711"/>
  </r>
  <r>
    <x v="1"/>
    <s v="141"/>
    <x v="2"/>
    <m/>
    <x v="1"/>
    <x v="4"/>
    <n v="57.83"/>
    <n v="864832255"/>
    <n v="66270.670881226048"/>
  </r>
  <r>
    <x v="1"/>
    <s v="142"/>
    <x v="0"/>
    <m/>
    <x v="1"/>
    <x v="4"/>
    <n v="33.33"/>
    <n v="454667920"/>
    <n v="34840.453639846746"/>
  </r>
  <r>
    <x v="1"/>
    <s v="144"/>
    <x v="1"/>
    <m/>
    <x v="1"/>
    <x v="4"/>
    <n v="54.79"/>
    <n v="797886199"/>
    <n v="61140.704904214559"/>
  </r>
  <r>
    <x v="1"/>
    <s v="145"/>
    <x v="1"/>
    <m/>
    <x v="1"/>
    <x v="5"/>
    <n v="56.24"/>
    <n v="787519655"/>
    <n v="60346.333716475099"/>
  </r>
  <r>
    <x v="1"/>
    <s v="147"/>
    <x v="2"/>
    <m/>
    <x v="1"/>
    <x v="5"/>
    <n v="57.83"/>
    <n v="869884172"/>
    <n v="66657.790957854406"/>
  </r>
  <r>
    <x v="1"/>
    <s v="148"/>
    <x v="0"/>
    <m/>
    <x v="1"/>
    <x v="5"/>
    <n v="33.33"/>
    <n v="485319690"/>
    <n v="37189.248275862068"/>
  </r>
  <r>
    <x v="1"/>
    <s v="150"/>
    <x v="1"/>
    <m/>
    <x v="1"/>
    <x v="5"/>
    <n v="54.79"/>
    <n v="736947082"/>
    <n v="56471.040766283528"/>
  </r>
  <r>
    <x v="1"/>
    <s v="151"/>
    <x v="1"/>
    <m/>
    <x v="1"/>
    <x v="6"/>
    <n v="56.24"/>
    <n v="800651108"/>
    <n v="61352.575325670499"/>
  </r>
  <r>
    <x v="1"/>
    <s v="153"/>
    <x v="2"/>
    <m/>
    <x v="1"/>
    <x v="6"/>
    <n v="57.83"/>
    <n v="845443611"/>
    <n v="64784.951034482758"/>
  </r>
  <r>
    <x v="1"/>
    <s v="154"/>
    <x v="0"/>
    <m/>
    <x v="1"/>
    <x v="6"/>
    <n v="33.33"/>
    <n v="447193272"/>
    <n v="34267.683678160916"/>
  </r>
  <r>
    <x v="1"/>
    <s v="156"/>
    <x v="1"/>
    <m/>
    <x v="1"/>
    <x v="6"/>
    <n v="54.79"/>
    <n v="727214573"/>
    <n v="55725.254636015328"/>
  </r>
  <r>
    <x v="1"/>
    <s v="159"/>
    <x v="2"/>
    <m/>
    <x v="1"/>
    <x v="7"/>
    <n v="57.83"/>
    <n v="821964882"/>
    <n v="62985.814712643682"/>
  </r>
  <r>
    <x v="1"/>
    <s v="160"/>
    <x v="0"/>
    <m/>
    <x v="1"/>
    <x v="7"/>
    <n v="33.33"/>
    <n v="407335759"/>
    <n v="31213.468122605365"/>
  </r>
  <r>
    <x v="1"/>
    <s v="162"/>
    <x v="1"/>
    <m/>
    <x v="1"/>
    <x v="7"/>
    <n v="54.79"/>
    <n v="734220237"/>
    <n v="56262.087126436782"/>
  </r>
  <r>
    <x v="1"/>
    <s v="163"/>
    <x v="1"/>
    <m/>
    <x v="1"/>
    <x v="8"/>
    <n v="56.31"/>
    <n v="787296366"/>
    <n v="60329.223448275865"/>
  </r>
  <r>
    <x v="1"/>
    <s v="164"/>
    <x v="1"/>
    <m/>
    <x v="1"/>
    <x v="8"/>
    <n v="44.28"/>
    <n v="597252557"/>
    <n v="45766.479463601536"/>
  </r>
  <r>
    <x v="1"/>
    <s v="166"/>
    <x v="0"/>
    <m/>
    <x v="1"/>
    <x v="8"/>
    <n v="33.4"/>
    <n v="473626764"/>
    <n v="36293.238620689655"/>
  </r>
  <r>
    <x v="1"/>
    <s v="168"/>
    <x v="1"/>
    <m/>
    <x v="1"/>
    <x v="8"/>
    <n v="54.86"/>
    <n v="763501810"/>
    <n v="58505.88582375479"/>
  </r>
  <r>
    <x v="1"/>
    <s v="169"/>
    <x v="1"/>
    <m/>
    <x v="1"/>
    <x v="9"/>
    <n v="56.31"/>
    <n v="757123497"/>
    <n v="58017.126206896552"/>
  </r>
  <r>
    <x v="1"/>
    <s v="170"/>
    <x v="1"/>
    <m/>
    <x v="1"/>
    <x v="9"/>
    <n v="44.28"/>
    <n v="625149936"/>
    <n v="47904.209655172417"/>
  </r>
  <r>
    <x v="1"/>
    <s v="171"/>
    <x v="2"/>
    <m/>
    <x v="1"/>
    <x v="9"/>
    <n v="57.9"/>
    <n v="812410145"/>
    <n v="62253.650957854406"/>
  </r>
  <r>
    <x v="1"/>
    <s v="172"/>
    <x v="0"/>
    <m/>
    <x v="1"/>
    <x v="9"/>
    <n v="33.4"/>
    <n v="431471174"/>
    <n v="33062.925210727968"/>
  </r>
  <r>
    <x v="1"/>
    <s v="174"/>
    <x v="1"/>
    <m/>
    <x v="1"/>
    <x v="9"/>
    <n v="54.86"/>
    <n v="700436833"/>
    <n v="53673.320536398467"/>
  </r>
  <r>
    <x v="1"/>
    <s v="175"/>
    <x v="1"/>
    <m/>
    <x v="1"/>
    <x v="10"/>
    <n v="56.31"/>
    <n v="750558650"/>
    <n v="57514.072796934866"/>
  </r>
  <r>
    <x v="1"/>
    <s v="176"/>
    <x v="1"/>
    <m/>
    <x v="1"/>
    <x v="10"/>
    <n v="44.28"/>
    <n v="593333626"/>
    <n v="45466.178237547894"/>
  </r>
  <r>
    <x v="1"/>
    <s v="178"/>
    <x v="0"/>
    <m/>
    <x v="1"/>
    <x v="10"/>
    <n v="33.4"/>
    <n v="491290423"/>
    <n v="37646.77570881226"/>
  </r>
  <r>
    <x v="1"/>
    <s v="180"/>
    <x v="1"/>
    <m/>
    <x v="1"/>
    <x v="10"/>
    <n v="54.86"/>
    <n v="695803370"/>
    <n v="53318.265900383143"/>
  </r>
  <r>
    <x v="1"/>
    <s v="181"/>
    <x v="1"/>
    <m/>
    <x v="1"/>
    <x v="11"/>
    <n v="56.31"/>
    <n v="737056594"/>
    <n v="56479.432490421459"/>
  </r>
  <r>
    <x v="1"/>
    <s v="182"/>
    <x v="1"/>
    <m/>
    <x v="1"/>
    <x v="11"/>
    <n v="44.28"/>
    <n v="636236965"/>
    <n v="48753.790421455938"/>
  </r>
  <r>
    <x v="1"/>
    <s v="183"/>
    <x v="2"/>
    <m/>
    <x v="1"/>
    <x v="11"/>
    <n v="57.9"/>
    <n v="759622853"/>
    <n v="58208.647739463602"/>
  </r>
  <r>
    <x v="1"/>
    <s v="184"/>
    <x v="0"/>
    <m/>
    <x v="1"/>
    <x v="11"/>
    <n v="33.4"/>
    <n v="419635231"/>
    <n v="32155.956398467431"/>
  </r>
  <r>
    <x v="1"/>
    <s v="187"/>
    <x v="1"/>
    <m/>
    <x v="1"/>
    <x v="12"/>
    <n v="56.31"/>
    <n v="690882725"/>
    <n v="52941.204980842915"/>
  </r>
  <r>
    <x v="1"/>
    <s v="188"/>
    <x v="1"/>
    <m/>
    <x v="1"/>
    <x v="12"/>
    <n v="44.28"/>
    <n v="577945228"/>
    <n v="44286.990651340995"/>
  </r>
  <r>
    <x v="1"/>
    <s v="190"/>
    <x v="0"/>
    <m/>
    <x v="1"/>
    <x v="12"/>
    <n v="33.4"/>
    <n v="487775182"/>
    <n v="37377.408582375479"/>
  </r>
  <r>
    <x v="1"/>
    <s v="193"/>
    <x v="1"/>
    <m/>
    <x v="1"/>
    <x v="13"/>
    <n v="56.19"/>
    <n v="654015832"/>
    <n v="50116.155708812257"/>
  </r>
  <r>
    <x v="1"/>
    <s v="194"/>
    <x v="1"/>
    <m/>
    <x v="1"/>
    <x v="13"/>
    <n v="44.16"/>
    <n v="578788780"/>
    <n v="44351.630651340995"/>
  </r>
  <r>
    <x v="1"/>
    <s v="196"/>
    <x v="0"/>
    <m/>
    <x v="1"/>
    <x v="13"/>
    <n v="33.340000000000003"/>
    <n v="481606560"/>
    <n v="36904.717241379309"/>
  </r>
  <r>
    <x v="1"/>
    <s v="200"/>
    <x v="1"/>
    <m/>
    <x v="1"/>
    <x v="14"/>
    <n v="44.16"/>
    <n v="573125073"/>
    <n v="43917.630114942527"/>
  </r>
  <r>
    <x v="1"/>
    <s v="202"/>
    <x v="0"/>
    <m/>
    <x v="1"/>
    <x v="14"/>
    <n v="33.340000000000003"/>
    <n v="466710154"/>
    <n v="35763.2301915708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CC339D-5FD7-4482-8A07-FB4E85E13C53}" name="Сводная таблица1" cacheId="2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10:D16" firstHeaderRow="0" firstDataRow="1" firstDataCol="1"/>
  <pivotFields count="9">
    <pivotField axis="axisRow" showAll="0">
      <items count="3">
        <item x="0"/>
        <item sd="0" x="1"/>
        <item t="default"/>
      </items>
    </pivotField>
    <pivotField showAll="0"/>
    <pivotField axis="axisRow" dataField="1" showAll="0">
      <items count="7">
        <item m="1" x="3"/>
        <item m="1" x="4"/>
        <item m="1" x="5"/>
        <item x="0"/>
        <item x="1"/>
        <item x="2"/>
        <item t="default"/>
      </items>
    </pivotField>
    <pivotField showAll="0"/>
    <pivotField axis="axisRow" showAll="0">
      <items count="7">
        <item sd="0" m="1" x="3"/>
        <item sd="0" m="1" x="4"/>
        <item sd="0" m="1" x="5"/>
        <item sd="0" x="0"/>
        <item sd="0" x="1"/>
        <item sd="0" x="2"/>
        <item t="default"/>
      </items>
    </pivotField>
    <pivotField axis="axisRow" showAll="0">
      <items count="33">
        <item sd="0" m="1" x="16"/>
        <item sd="0" m="1" x="17"/>
        <item sd="0" m="1" x="18"/>
        <item sd="0" m="1" x="19"/>
        <item sd="0" m="1" x="20"/>
        <item sd="0" m="1" x="21"/>
        <item sd="0" m="1" x="22"/>
        <item sd="0" m="1" x="23"/>
        <item sd="0" m="1" x="24"/>
        <item sd="0" m="1" x="25"/>
        <item sd="0" m="1" x="26"/>
        <item sd="0" m="1" x="27"/>
        <item sd="0" m="1" x="28"/>
        <item m="1" x="29"/>
        <item m="1" x="30"/>
        <item m="1" x="31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  <pivotField dataField="1" showAll="0"/>
    <pivotField showAll="0"/>
    <pivotField dataField="1" numFmtId="165" showAll="0"/>
  </pivotFields>
  <rowFields count="4">
    <field x="0"/>
    <field x="4"/>
    <field x="5"/>
    <field x="2"/>
  </rowFields>
  <rowItems count="6">
    <i>
      <x/>
    </i>
    <i r="1">
      <x v="3"/>
    </i>
    <i r="1">
      <x v="4"/>
    </i>
    <i r="1">
      <x v="5"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S по договору,м²" fld="6" baseField="0" baseItem="0"/>
    <dataField name="Сумма по полю Стоиомть сделки в $" fld="8" baseField="0" baseItem="0" numFmtId="165"/>
    <dataField name="Количество по полю Кмн." fld="2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9"/>
  <sheetViews>
    <sheetView zoomScale="145" zoomScaleNormal="145" workbookViewId="0">
      <selection activeCell="K3" sqref="K3"/>
    </sheetView>
  </sheetViews>
  <sheetFormatPr defaultRowHeight="15" x14ac:dyDescent="0.25"/>
  <cols>
    <col min="1" max="1" width="21.140625" bestFit="1" customWidth="1"/>
    <col min="2" max="2" width="7.85546875" bestFit="1" customWidth="1"/>
    <col min="3" max="3" width="10" bestFit="1" customWidth="1"/>
    <col min="4" max="4" width="7.5703125" bestFit="1" customWidth="1"/>
    <col min="5" max="5" width="8.7109375" bestFit="1" customWidth="1"/>
    <col min="6" max="6" width="8.140625" bestFit="1" customWidth="1"/>
    <col min="7" max="7" width="20" bestFit="1" customWidth="1"/>
    <col min="8" max="8" width="21.140625" bestFit="1" customWidth="1"/>
    <col min="9" max="9" width="20" bestFit="1" customWidth="1"/>
    <col min="10" max="10" width="10.85546875" bestFit="1" customWidth="1"/>
  </cols>
  <sheetData>
    <row r="1" spans="1:9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275</v>
      </c>
    </row>
    <row r="2" spans="1:9" x14ac:dyDescent="0.25">
      <c r="A2" t="s">
        <v>8</v>
      </c>
      <c r="B2" s="2" t="s">
        <v>9</v>
      </c>
      <c r="C2" t="s">
        <v>304</v>
      </c>
      <c r="E2" t="s">
        <v>285</v>
      </c>
      <c r="F2" t="s">
        <v>288</v>
      </c>
      <c r="G2">
        <v>24.01</v>
      </c>
      <c r="H2">
        <v>387095190</v>
      </c>
      <c r="I2" s="5">
        <v>29662.466666666667</v>
      </c>
    </row>
    <row r="3" spans="1:9" x14ac:dyDescent="0.25">
      <c r="A3" t="s">
        <v>8</v>
      </c>
      <c r="B3" s="2" t="s">
        <v>10</v>
      </c>
      <c r="C3" t="s">
        <v>304</v>
      </c>
      <c r="E3" t="s">
        <v>285</v>
      </c>
      <c r="F3" t="s">
        <v>289</v>
      </c>
      <c r="G3">
        <v>33.03</v>
      </c>
      <c r="H3">
        <v>438546632</v>
      </c>
      <c r="I3" s="5">
        <v>33605.10590038314</v>
      </c>
    </row>
    <row r="4" spans="1:9" x14ac:dyDescent="0.25">
      <c r="A4" t="s">
        <v>8</v>
      </c>
      <c r="B4" s="2" t="s">
        <v>11</v>
      </c>
      <c r="C4" t="s">
        <v>304</v>
      </c>
      <c r="E4" t="s">
        <v>285</v>
      </c>
      <c r="F4" t="s">
        <v>289</v>
      </c>
      <c r="G4">
        <v>28.91</v>
      </c>
      <c r="H4">
        <v>417268903</v>
      </c>
      <c r="I4" s="5">
        <v>31974.628582375481</v>
      </c>
    </row>
    <row r="5" spans="1:9" x14ac:dyDescent="0.25">
      <c r="A5" t="s">
        <v>8</v>
      </c>
      <c r="B5" s="2" t="s">
        <v>12</v>
      </c>
      <c r="C5" t="s">
        <v>305</v>
      </c>
      <c r="E5" t="s">
        <v>285</v>
      </c>
      <c r="F5" t="s">
        <v>289</v>
      </c>
      <c r="G5">
        <v>44.82</v>
      </c>
      <c r="H5">
        <v>661514207</v>
      </c>
      <c r="I5" s="5">
        <v>50690.743831417625</v>
      </c>
    </row>
    <row r="6" spans="1:9" x14ac:dyDescent="0.25">
      <c r="A6" t="s">
        <v>8</v>
      </c>
      <c r="B6" s="2" t="s">
        <v>13</v>
      </c>
      <c r="C6" t="s">
        <v>305</v>
      </c>
      <c r="E6" t="s">
        <v>285</v>
      </c>
      <c r="F6" t="s">
        <v>289</v>
      </c>
      <c r="G6">
        <v>54</v>
      </c>
      <c r="H6">
        <v>678758218</v>
      </c>
      <c r="I6" s="5">
        <v>52012.123984674326</v>
      </c>
    </row>
    <row r="7" spans="1:9" x14ac:dyDescent="0.25">
      <c r="A7" t="s">
        <v>8</v>
      </c>
      <c r="B7" s="2" t="s">
        <v>14</v>
      </c>
      <c r="C7" t="s">
        <v>304</v>
      </c>
      <c r="E7" t="s">
        <v>285</v>
      </c>
      <c r="F7" t="s">
        <v>289</v>
      </c>
      <c r="G7">
        <v>28.91</v>
      </c>
      <c r="H7">
        <v>471767716</v>
      </c>
      <c r="I7" s="5">
        <v>36150.78283524904</v>
      </c>
    </row>
    <row r="8" spans="1:9" x14ac:dyDescent="0.25">
      <c r="A8" t="s">
        <v>8</v>
      </c>
      <c r="B8" s="2" t="s">
        <v>15</v>
      </c>
      <c r="C8" t="s">
        <v>304</v>
      </c>
      <c r="E8" t="s">
        <v>285</v>
      </c>
      <c r="F8" t="s">
        <v>289</v>
      </c>
      <c r="G8">
        <v>33.03</v>
      </c>
      <c r="H8">
        <v>450507670</v>
      </c>
      <c r="I8" s="5">
        <v>34521.660536398471</v>
      </c>
    </row>
    <row r="9" spans="1:9" x14ac:dyDescent="0.25">
      <c r="A9" t="s">
        <v>8</v>
      </c>
      <c r="B9" s="2" t="s">
        <v>16</v>
      </c>
      <c r="C9" t="s">
        <v>304</v>
      </c>
      <c r="E9" t="s">
        <v>285</v>
      </c>
      <c r="F9" t="s">
        <v>290</v>
      </c>
      <c r="G9">
        <v>33.03</v>
      </c>
      <c r="H9">
        <v>431118493</v>
      </c>
      <c r="I9" s="5">
        <v>33035.899846743298</v>
      </c>
    </row>
    <row r="10" spans="1:9" x14ac:dyDescent="0.25">
      <c r="A10" t="s">
        <v>8</v>
      </c>
      <c r="B10" s="2" t="s">
        <v>17</v>
      </c>
      <c r="C10" t="s">
        <v>305</v>
      </c>
      <c r="E10" t="s">
        <v>285</v>
      </c>
      <c r="F10" t="s">
        <v>290</v>
      </c>
      <c r="G10">
        <v>44.82</v>
      </c>
      <c r="H10">
        <v>634914346</v>
      </c>
      <c r="I10" s="5">
        <v>48652.44030651341</v>
      </c>
    </row>
    <row r="11" spans="1:9" x14ac:dyDescent="0.25">
      <c r="A11" t="s">
        <v>8</v>
      </c>
      <c r="B11" s="2" t="s">
        <v>18</v>
      </c>
      <c r="C11" t="s">
        <v>304</v>
      </c>
      <c r="E11" t="s">
        <v>285</v>
      </c>
      <c r="F11" t="s">
        <v>290</v>
      </c>
      <c r="G11">
        <v>33.03</v>
      </c>
      <c r="H11">
        <v>450156536</v>
      </c>
      <c r="I11" s="5">
        <v>34494.753716475097</v>
      </c>
    </row>
    <row r="12" spans="1:9" x14ac:dyDescent="0.25">
      <c r="A12" t="s">
        <v>8</v>
      </c>
      <c r="B12" s="2" t="s">
        <v>19</v>
      </c>
      <c r="C12" t="s">
        <v>304</v>
      </c>
      <c r="E12" t="s">
        <v>285</v>
      </c>
      <c r="F12" t="s">
        <v>291</v>
      </c>
      <c r="G12">
        <v>33.04</v>
      </c>
      <c r="H12">
        <v>412927337</v>
      </c>
      <c r="I12" s="5">
        <v>31641.941532567049</v>
      </c>
    </row>
    <row r="13" spans="1:9" x14ac:dyDescent="0.25">
      <c r="A13" t="s">
        <v>8</v>
      </c>
      <c r="B13" s="2" t="s">
        <v>20</v>
      </c>
      <c r="C13" t="s">
        <v>304</v>
      </c>
      <c r="E13" t="s">
        <v>285</v>
      </c>
      <c r="F13" t="s">
        <v>291</v>
      </c>
      <c r="G13">
        <v>31.47</v>
      </c>
      <c r="H13">
        <v>392678254</v>
      </c>
      <c r="I13" s="5">
        <v>30090.28766283525</v>
      </c>
    </row>
    <row r="14" spans="1:9" x14ac:dyDescent="0.25">
      <c r="A14" t="s">
        <v>8</v>
      </c>
      <c r="B14" s="2" t="s">
        <v>21</v>
      </c>
      <c r="C14" t="s">
        <v>304</v>
      </c>
      <c r="E14" t="s">
        <v>285</v>
      </c>
      <c r="F14" t="s">
        <v>291</v>
      </c>
      <c r="G14">
        <v>28.91</v>
      </c>
      <c r="H14">
        <v>410781978</v>
      </c>
      <c r="I14" s="5">
        <v>31477.546206896553</v>
      </c>
    </row>
    <row r="15" spans="1:9" x14ac:dyDescent="0.25">
      <c r="A15" t="s">
        <v>8</v>
      </c>
      <c r="B15" s="2" t="s">
        <v>22</v>
      </c>
      <c r="C15" t="s">
        <v>305</v>
      </c>
      <c r="E15" t="s">
        <v>285</v>
      </c>
      <c r="F15" t="s">
        <v>291</v>
      </c>
      <c r="G15">
        <v>40.380000000000003</v>
      </c>
      <c r="H15">
        <v>555788795</v>
      </c>
      <c r="I15" s="5">
        <v>42589.179693486592</v>
      </c>
    </row>
    <row r="16" spans="1:9" x14ac:dyDescent="0.25">
      <c r="A16" t="s">
        <v>8</v>
      </c>
      <c r="B16" s="2" t="s">
        <v>23</v>
      </c>
      <c r="C16" t="s">
        <v>305</v>
      </c>
      <c r="E16" t="s">
        <v>285</v>
      </c>
      <c r="F16" t="s">
        <v>291</v>
      </c>
      <c r="G16">
        <v>48.49</v>
      </c>
      <c r="H16">
        <v>689499448</v>
      </c>
      <c r="I16" s="5">
        <v>52835.206743295021</v>
      </c>
    </row>
    <row r="17" spans="1:9" x14ac:dyDescent="0.25">
      <c r="A17" t="s">
        <v>8</v>
      </c>
      <c r="B17" s="2" t="s">
        <v>24</v>
      </c>
      <c r="C17" t="s">
        <v>304</v>
      </c>
      <c r="E17" t="s">
        <v>285</v>
      </c>
      <c r="F17" t="s">
        <v>291</v>
      </c>
      <c r="G17">
        <v>28.91</v>
      </c>
      <c r="H17">
        <v>457386600</v>
      </c>
      <c r="I17" s="5">
        <v>35048.781609195401</v>
      </c>
    </row>
    <row r="18" spans="1:9" x14ac:dyDescent="0.25">
      <c r="A18" t="s">
        <v>8</v>
      </c>
      <c r="B18" s="2" t="s">
        <v>25</v>
      </c>
      <c r="C18" t="s">
        <v>304</v>
      </c>
      <c r="E18" t="s">
        <v>285</v>
      </c>
      <c r="F18" t="s">
        <v>291</v>
      </c>
      <c r="G18">
        <v>33.04</v>
      </c>
      <c r="H18">
        <v>505730905</v>
      </c>
      <c r="I18" s="5">
        <v>38753.326053639845</v>
      </c>
    </row>
    <row r="19" spans="1:9" x14ac:dyDescent="0.25">
      <c r="A19" t="s">
        <v>8</v>
      </c>
      <c r="B19" s="2" t="s">
        <v>26</v>
      </c>
      <c r="C19" t="s">
        <v>304</v>
      </c>
      <c r="E19" t="s">
        <v>285</v>
      </c>
      <c r="F19" t="s">
        <v>292</v>
      </c>
      <c r="G19">
        <v>33.04</v>
      </c>
      <c r="H19">
        <v>497953360</v>
      </c>
      <c r="I19" s="5">
        <v>38157.34559386973</v>
      </c>
    </row>
    <row r="20" spans="1:9" x14ac:dyDescent="0.25">
      <c r="A20" t="s">
        <v>8</v>
      </c>
      <c r="B20" s="2" t="s">
        <v>27</v>
      </c>
      <c r="C20" t="s">
        <v>304</v>
      </c>
      <c r="E20" t="s">
        <v>285</v>
      </c>
      <c r="F20" t="s">
        <v>292</v>
      </c>
      <c r="G20">
        <v>28.91</v>
      </c>
      <c r="H20">
        <v>424832711</v>
      </c>
      <c r="I20" s="5">
        <v>32554.230727969349</v>
      </c>
    </row>
    <row r="21" spans="1:9" x14ac:dyDescent="0.25">
      <c r="A21" t="s">
        <v>8</v>
      </c>
      <c r="B21" s="2" t="s">
        <v>28</v>
      </c>
      <c r="C21" t="s">
        <v>305</v>
      </c>
      <c r="E21" t="s">
        <v>285</v>
      </c>
      <c r="F21" t="s">
        <v>292</v>
      </c>
      <c r="G21">
        <v>40.380000000000003</v>
      </c>
      <c r="H21">
        <v>555501053</v>
      </c>
      <c r="I21" s="5">
        <v>42567.130498084291</v>
      </c>
    </row>
    <row r="22" spans="1:9" x14ac:dyDescent="0.25">
      <c r="A22" t="s">
        <v>8</v>
      </c>
      <c r="B22" s="2" t="s">
        <v>29</v>
      </c>
      <c r="C22" t="s">
        <v>305</v>
      </c>
      <c r="E22" t="s">
        <v>285</v>
      </c>
      <c r="F22" t="s">
        <v>292</v>
      </c>
      <c r="G22">
        <v>48.49</v>
      </c>
      <c r="H22">
        <v>701607115</v>
      </c>
      <c r="I22" s="5">
        <v>53762.997318007663</v>
      </c>
    </row>
    <row r="23" spans="1:9" x14ac:dyDescent="0.25">
      <c r="A23" t="s">
        <v>8</v>
      </c>
      <c r="B23" s="2" t="s">
        <v>30</v>
      </c>
      <c r="C23" t="s">
        <v>304</v>
      </c>
      <c r="E23" t="s">
        <v>285</v>
      </c>
      <c r="F23" t="s">
        <v>292</v>
      </c>
      <c r="G23">
        <v>28.91</v>
      </c>
      <c r="H23">
        <v>424832711</v>
      </c>
      <c r="I23" s="5">
        <v>32554.230727969349</v>
      </c>
    </row>
    <row r="24" spans="1:9" x14ac:dyDescent="0.25">
      <c r="A24" t="s">
        <v>8</v>
      </c>
      <c r="B24" s="2" t="s">
        <v>31</v>
      </c>
      <c r="C24" t="s">
        <v>304</v>
      </c>
      <c r="E24" t="s">
        <v>285</v>
      </c>
      <c r="F24" t="s">
        <v>292</v>
      </c>
      <c r="G24">
        <v>33.04</v>
      </c>
      <c r="H24">
        <v>515193857</v>
      </c>
      <c r="I24" s="5">
        <v>39478.456475095787</v>
      </c>
    </row>
    <row r="25" spans="1:9" x14ac:dyDescent="0.25">
      <c r="A25" t="s">
        <v>8</v>
      </c>
      <c r="B25" s="2" t="s">
        <v>32</v>
      </c>
      <c r="C25" t="s">
        <v>304</v>
      </c>
      <c r="E25" t="s">
        <v>285</v>
      </c>
      <c r="F25" t="s">
        <v>293</v>
      </c>
      <c r="G25">
        <v>33.04</v>
      </c>
      <c r="H25">
        <v>425391020</v>
      </c>
      <c r="I25" s="5">
        <v>32597.013026819925</v>
      </c>
    </row>
    <row r="26" spans="1:9" x14ac:dyDescent="0.25">
      <c r="A26" t="s">
        <v>8</v>
      </c>
      <c r="B26" s="2" t="s">
        <v>33</v>
      </c>
      <c r="C26" t="s">
        <v>304</v>
      </c>
      <c r="E26" t="s">
        <v>285</v>
      </c>
      <c r="F26" t="s">
        <v>293</v>
      </c>
      <c r="G26">
        <v>31.47</v>
      </c>
      <c r="H26">
        <v>472163512</v>
      </c>
      <c r="I26" s="5">
        <v>36181.11203065134</v>
      </c>
    </row>
    <row r="27" spans="1:9" x14ac:dyDescent="0.25">
      <c r="A27" t="s">
        <v>8</v>
      </c>
      <c r="B27" s="2" t="s">
        <v>34</v>
      </c>
      <c r="C27" t="s">
        <v>304</v>
      </c>
      <c r="E27" t="s">
        <v>285</v>
      </c>
      <c r="F27" t="s">
        <v>293</v>
      </c>
      <c r="G27">
        <v>28.91</v>
      </c>
      <c r="H27">
        <v>427215926</v>
      </c>
      <c r="I27" s="5">
        <v>32736.852567049809</v>
      </c>
    </row>
    <row r="28" spans="1:9" x14ac:dyDescent="0.25">
      <c r="A28" t="s">
        <v>8</v>
      </c>
      <c r="B28" s="2" t="s">
        <v>35</v>
      </c>
      <c r="C28" t="s">
        <v>305</v>
      </c>
      <c r="E28" t="s">
        <v>285</v>
      </c>
      <c r="F28" t="s">
        <v>293</v>
      </c>
      <c r="G28">
        <v>40.380000000000003</v>
      </c>
      <c r="H28">
        <v>501919282</v>
      </c>
      <c r="I28" s="5">
        <v>38461.247662835252</v>
      </c>
    </row>
    <row r="29" spans="1:9" x14ac:dyDescent="0.25">
      <c r="A29" t="s">
        <v>8</v>
      </c>
      <c r="B29" s="2" t="s">
        <v>36</v>
      </c>
      <c r="C29" t="s">
        <v>305</v>
      </c>
      <c r="E29" t="s">
        <v>285</v>
      </c>
      <c r="F29" t="s">
        <v>293</v>
      </c>
      <c r="G29">
        <v>48.49</v>
      </c>
      <c r="H29">
        <v>663925646</v>
      </c>
      <c r="I29" s="5">
        <v>50875.528429118771</v>
      </c>
    </row>
    <row r="30" spans="1:9" x14ac:dyDescent="0.25">
      <c r="A30" t="s">
        <v>8</v>
      </c>
      <c r="B30" s="2" t="s">
        <v>37</v>
      </c>
      <c r="C30" t="s">
        <v>304</v>
      </c>
      <c r="E30" t="s">
        <v>285</v>
      </c>
      <c r="F30" t="s">
        <v>293</v>
      </c>
      <c r="G30">
        <v>31.47</v>
      </c>
      <c r="H30">
        <v>447140992</v>
      </c>
      <c r="I30" s="5">
        <v>34263.677547892723</v>
      </c>
    </row>
    <row r="31" spans="1:9" x14ac:dyDescent="0.25">
      <c r="A31" t="s">
        <v>8</v>
      </c>
      <c r="B31" s="2" t="s">
        <v>38</v>
      </c>
      <c r="C31" t="s">
        <v>304</v>
      </c>
      <c r="E31" t="s">
        <v>285</v>
      </c>
      <c r="F31" t="s">
        <v>293</v>
      </c>
      <c r="G31">
        <v>33.04</v>
      </c>
      <c r="H31">
        <v>506614102</v>
      </c>
      <c r="I31" s="5">
        <v>38821.003984674331</v>
      </c>
    </row>
    <row r="32" spans="1:9" x14ac:dyDescent="0.25">
      <c r="A32" t="s">
        <v>8</v>
      </c>
      <c r="B32" s="2" t="s">
        <v>39</v>
      </c>
      <c r="C32" t="s">
        <v>304</v>
      </c>
      <c r="E32" t="s">
        <v>285</v>
      </c>
      <c r="F32" t="s">
        <v>294</v>
      </c>
      <c r="G32">
        <v>33.04</v>
      </c>
      <c r="H32">
        <v>418746827</v>
      </c>
      <c r="I32" s="5">
        <v>32087.879463601534</v>
      </c>
    </row>
    <row r="33" spans="1:9" x14ac:dyDescent="0.25">
      <c r="A33" t="s">
        <v>8</v>
      </c>
      <c r="B33" s="2" t="s">
        <v>40</v>
      </c>
      <c r="C33" t="s">
        <v>305</v>
      </c>
      <c r="E33" t="s">
        <v>285</v>
      </c>
      <c r="F33" t="s">
        <v>294</v>
      </c>
      <c r="G33">
        <v>40.380000000000003</v>
      </c>
      <c r="H33">
        <v>489048391</v>
      </c>
      <c r="I33" s="5">
        <v>37474.972490421453</v>
      </c>
    </row>
    <row r="34" spans="1:9" x14ac:dyDescent="0.25">
      <c r="A34" t="s">
        <v>8</v>
      </c>
      <c r="B34" s="2" t="s">
        <v>41</v>
      </c>
      <c r="C34" t="s">
        <v>304</v>
      </c>
      <c r="E34" t="s">
        <v>285</v>
      </c>
      <c r="F34" t="s">
        <v>294</v>
      </c>
      <c r="G34">
        <v>33.04</v>
      </c>
      <c r="H34">
        <v>418746827</v>
      </c>
      <c r="I34" s="5">
        <v>32087.879463601534</v>
      </c>
    </row>
    <row r="35" spans="1:9" x14ac:dyDescent="0.25">
      <c r="A35" t="s">
        <v>8</v>
      </c>
      <c r="B35" s="2" t="s">
        <v>42</v>
      </c>
      <c r="C35" t="s">
        <v>304</v>
      </c>
      <c r="E35" t="s">
        <v>285</v>
      </c>
      <c r="F35" t="s">
        <v>295</v>
      </c>
      <c r="G35">
        <v>33.04</v>
      </c>
      <c r="H35">
        <v>418746827</v>
      </c>
      <c r="I35" s="5">
        <v>32087.879463601534</v>
      </c>
    </row>
    <row r="36" spans="1:9" x14ac:dyDescent="0.25">
      <c r="A36" t="s">
        <v>8</v>
      </c>
      <c r="B36" s="2" t="s">
        <v>43</v>
      </c>
      <c r="C36" t="s">
        <v>305</v>
      </c>
      <c r="E36" t="s">
        <v>285</v>
      </c>
      <c r="F36" t="s">
        <v>295</v>
      </c>
      <c r="G36">
        <v>40.380000000000003</v>
      </c>
      <c r="H36">
        <v>472783839</v>
      </c>
      <c r="I36" s="5">
        <v>36228.646666666667</v>
      </c>
    </row>
    <row r="37" spans="1:9" x14ac:dyDescent="0.25">
      <c r="A37" t="s">
        <v>8</v>
      </c>
      <c r="B37" s="2" t="s">
        <v>44</v>
      </c>
      <c r="C37" t="s">
        <v>305</v>
      </c>
      <c r="E37" t="s">
        <v>285</v>
      </c>
      <c r="F37" t="s">
        <v>295</v>
      </c>
      <c r="G37">
        <v>48.49</v>
      </c>
      <c r="H37">
        <v>705161576</v>
      </c>
      <c r="I37" s="5">
        <v>54035.369808429117</v>
      </c>
    </row>
    <row r="38" spans="1:9" x14ac:dyDescent="0.25">
      <c r="A38" t="s">
        <v>8</v>
      </c>
      <c r="B38" s="2" t="s">
        <v>45</v>
      </c>
      <c r="C38" t="s">
        <v>304</v>
      </c>
      <c r="E38" t="s">
        <v>285</v>
      </c>
      <c r="F38" t="s">
        <v>295</v>
      </c>
      <c r="G38">
        <v>33.04</v>
      </c>
      <c r="H38">
        <v>529979748</v>
      </c>
      <c r="I38" s="5">
        <v>40611.474942528737</v>
      </c>
    </row>
    <row r="39" spans="1:9" x14ac:dyDescent="0.25">
      <c r="A39" t="s">
        <v>8</v>
      </c>
      <c r="B39" s="2" t="s">
        <v>46</v>
      </c>
      <c r="C39" t="s">
        <v>304</v>
      </c>
      <c r="E39" t="s">
        <v>285</v>
      </c>
      <c r="F39" t="s">
        <v>296</v>
      </c>
      <c r="G39">
        <v>33.11</v>
      </c>
      <c r="H39">
        <v>412975734</v>
      </c>
      <c r="I39" s="5">
        <v>31645.650114942528</v>
      </c>
    </row>
    <row r="40" spans="1:9" x14ac:dyDescent="0.25">
      <c r="A40" t="s">
        <v>8</v>
      </c>
      <c r="B40" s="2" t="s">
        <v>47</v>
      </c>
      <c r="C40" t="s">
        <v>304</v>
      </c>
      <c r="E40" t="s">
        <v>285</v>
      </c>
      <c r="F40" t="s">
        <v>296</v>
      </c>
      <c r="G40">
        <v>29.04</v>
      </c>
      <c r="H40">
        <v>371717770</v>
      </c>
      <c r="I40" s="5">
        <v>28484.12030651341</v>
      </c>
    </row>
    <row r="41" spans="1:9" x14ac:dyDescent="0.25">
      <c r="A41" t="s">
        <v>8</v>
      </c>
      <c r="B41" s="2" t="s">
        <v>48</v>
      </c>
      <c r="C41" t="s">
        <v>305</v>
      </c>
      <c r="E41" t="s">
        <v>285</v>
      </c>
      <c r="F41" t="s">
        <v>296</v>
      </c>
      <c r="G41">
        <v>40.44</v>
      </c>
      <c r="H41">
        <v>503565047</v>
      </c>
      <c r="I41" s="5">
        <v>38587.359923371645</v>
      </c>
    </row>
    <row r="42" spans="1:9" x14ac:dyDescent="0.25">
      <c r="A42" t="s">
        <v>8</v>
      </c>
      <c r="B42" s="2" t="s">
        <v>49</v>
      </c>
      <c r="C42" t="s">
        <v>305</v>
      </c>
      <c r="E42" t="s">
        <v>285</v>
      </c>
      <c r="F42" t="s">
        <v>296</v>
      </c>
      <c r="G42">
        <v>48.55</v>
      </c>
      <c r="H42">
        <v>680847403</v>
      </c>
      <c r="I42" s="5">
        <v>52172.214789272031</v>
      </c>
    </row>
    <row r="43" spans="1:9" x14ac:dyDescent="0.25">
      <c r="A43" t="s">
        <v>8</v>
      </c>
      <c r="B43" s="2" t="s">
        <v>50</v>
      </c>
      <c r="C43" t="s">
        <v>304</v>
      </c>
      <c r="E43" t="s">
        <v>285</v>
      </c>
      <c r="F43" t="s">
        <v>296</v>
      </c>
      <c r="G43">
        <v>33.11</v>
      </c>
      <c r="H43">
        <v>412975734</v>
      </c>
      <c r="I43" s="5">
        <v>31645.650114942528</v>
      </c>
    </row>
    <row r="44" spans="1:9" x14ac:dyDescent="0.25">
      <c r="A44" t="s">
        <v>8</v>
      </c>
      <c r="B44" s="2" t="s">
        <v>51</v>
      </c>
      <c r="C44" t="s">
        <v>304</v>
      </c>
      <c r="E44" t="s">
        <v>285</v>
      </c>
      <c r="F44" t="s">
        <v>297</v>
      </c>
      <c r="G44">
        <v>33.11</v>
      </c>
      <c r="H44">
        <v>467694611</v>
      </c>
      <c r="I44" s="5">
        <v>35838.667509578547</v>
      </c>
    </row>
    <row r="45" spans="1:9" x14ac:dyDescent="0.25">
      <c r="A45" t="s">
        <v>8</v>
      </c>
      <c r="B45" s="2" t="s">
        <v>52</v>
      </c>
      <c r="C45" t="s">
        <v>304</v>
      </c>
      <c r="E45" t="s">
        <v>285</v>
      </c>
      <c r="F45" t="s">
        <v>297</v>
      </c>
      <c r="G45">
        <v>29.04</v>
      </c>
      <c r="H45">
        <v>420761125</v>
      </c>
      <c r="I45" s="5">
        <v>32242.231800766283</v>
      </c>
    </row>
    <row r="46" spans="1:9" x14ac:dyDescent="0.25">
      <c r="A46" t="s">
        <v>8</v>
      </c>
      <c r="B46" s="2" t="s">
        <v>53</v>
      </c>
      <c r="C46" t="s">
        <v>305</v>
      </c>
      <c r="E46" t="s">
        <v>285</v>
      </c>
      <c r="F46" t="s">
        <v>297</v>
      </c>
      <c r="G46">
        <v>40.44</v>
      </c>
      <c r="H46">
        <v>542746915</v>
      </c>
      <c r="I46" s="5">
        <v>41589.801915708813</v>
      </c>
    </row>
    <row r="47" spans="1:9" x14ac:dyDescent="0.25">
      <c r="A47" t="s">
        <v>8</v>
      </c>
      <c r="B47" s="2" t="s">
        <v>54</v>
      </c>
      <c r="C47" t="s">
        <v>305</v>
      </c>
      <c r="E47" t="s">
        <v>285</v>
      </c>
      <c r="F47" t="s">
        <v>297</v>
      </c>
      <c r="G47">
        <v>48.55</v>
      </c>
      <c r="H47">
        <v>782436979</v>
      </c>
      <c r="I47" s="5">
        <v>59956.856628352492</v>
      </c>
    </row>
    <row r="48" spans="1:9" x14ac:dyDescent="0.25">
      <c r="A48" t="s">
        <v>8</v>
      </c>
      <c r="B48" s="2" t="s">
        <v>55</v>
      </c>
      <c r="C48" t="s">
        <v>304</v>
      </c>
      <c r="E48" t="s">
        <v>285</v>
      </c>
      <c r="F48" t="s">
        <v>298</v>
      </c>
      <c r="G48">
        <v>33.11</v>
      </c>
      <c r="H48">
        <v>427255126</v>
      </c>
      <c r="I48" s="5">
        <v>32739.856398467433</v>
      </c>
    </row>
    <row r="49" spans="1:9" x14ac:dyDescent="0.25">
      <c r="A49" t="s">
        <v>8</v>
      </c>
      <c r="B49" s="2" t="s">
        <v>56</v>
      </c>
      <c r="C49" t="s">
        <v>305</v>
      </c>
      <c r="E49" t="s">
        <v>285</v>
      </c>
      <c r="F49" t="s">
        <v>298</v>
      </c>
      <c r="G49">
        <v>40.44</v>
      </c>
      <c r="H49">
        <v>584796523</v>
      </c>
      <c r="I49" s="5">
        <v>44811.994099616859</v>
      </c>
    </row>
    <row r="50" spans="1:9" x14ac:dyDescent="0.25">
      <c r="A50" t="s">
        <v>8</v>
      </c>
      <c r="B50" s="2" t="s">
        <v>57</v>
      </c>
      <c r="C50" t="s">
        <v>305</v>
      </c>
      <c r="E50" t="s">
        <v>285</v>
      </c>
      <c r="F50" t="s">
        <v>298</v>
      </c>
      <c r="G50">
        <v>48.55</v>
      </c>
      <c r="H50">
        <v>627351552</v>
      </c>
      <c r="I50" s="5">
        <v>48072.915862068963</v>
      </c>
    </row>
    <row r="51" spans="1:9" x14ac:dyDescent="0.25">
      <c r="A51" t="s">
        <v>8</v>
      </c>
      <c r="B51" s="2" t="s">
        <v>58</v>
      </c>
      <c r="C51" t="s">
        <v>304</v>
      </c>
      <c r="E51" t="s">
        <v>285</v>
      </c>
      <c r="F51" t="s">
        <v>299</v>
      </c>
      <c r="G51">
        <v>33.11</v>
      </c>
      <c r="H51">
        <v>449664421</v>
      </c>
      <c r="I51" s="5">
        <v>34457.043754789272</v>
      </c>
    </row>
    <row r="52" spans="1:9" x14ac:dyDescent="0.25">
      <c r="A52" t="s">
        <v>8</v>
      </c>
      <c r="B52" s="2" t="s">
        <v>59</v>
      </c>
      <c r="C52" t="s">
        <v>305</v>
      </c>
      <c r="E52" t="s">
        <v>285</v>
      </c>
      <c r="F52" t="s">
        <v>299</v>
      </c>
      <c r="G52">
        <v>40.44</v>
      </c>
      <c r="H52">
        <v>546787110</v>
      </c>
      <c r="I52" s="5">
        <v>41899.395402298847</v>
      </c>
    </row>
    <row r="53" spans="1:9" x14ac:dyDescent="0.25">
      <c r="A53" t="s">
        <v>8</v>
      </c>
      <c r="B53" s="2" t="s">
        <v>60</v>
      </c>
      <c r="C53" t="s">
        <v>305</v>
      </c>
      <c r="E53" t="s">
        <v>285</v>
      </c>
      <c r="F53" t="s">
        <v>299</v>
      </c>
      <c r="G53">
        <v>48.55</v>
      </c>
      <c r="H53">
        <v>571617818</v>
      </c>
      <c r="I53" s="5">
        <v>43802.131647509581</v>
      </c>
    </row>
    <row r="54" spans="1:9" x14ac:dyDescent="0.25">
      <c r="A54" t="s">
        <v>8</v>
      </c>
      <c r="B54" s="2" t="s">
        <v>61</v>
      </c>
      <c r="C54" t="s">
        <v>304</v>
      </c>
      <c r="E54" t="s">
        <v>285</v>
      </c>
      <c r="F54" t="s">
        <v>299</v>
      </c>
      <c r="G54">
        <v>33.11</v>
      </c>
      <c r="H54">
        <v>429454784</v>
      </c>
      <c r="I54" s="5">
        <v>32908.412567049811</v>
      </c>
    </row>
    <row r="55" spans="1:9" x14ac:dyDescent="0.25">
      <c r="A55" t="s">
        <v>8</v>
      </c>
      <c r="B55" s="2" t="s">
        <v>62</v>
      </c>
      <c r="C55" t="s">
        <v>304</v>
      </c>
      <c r="E55" t="s">
        <v>285</v>
      </c>
      <c r="F55" t="s">
        <v>300</v>
      </c>
      <c r="G55">
        <v>29.04</v>
      </c>
      <c r="H55">
        <v>371315651</v>
      </c>
      <c r="I55" s="5">
        <v>28453.306590038315</v>
      </c>
    </row>
    <row r="56" spans="1:9" x14ac:dyDescent="0.25">
      <c r="A56" t="s">
        <v>8</v>
      </c>
      <c r="B56" s="2" t="s">
        <v>63</v>
      </c>
      <c r="C56" t="s">
        <v>305</v>
      </c>
      <c r="E56" t="s">
        <v>285</v>
      </c>
      <c r="F56" t="s">
        <v>300</v>
      </c>
      <c r="G56">
        <v>40.44</v>
      </c>
      <c r="H56">
        <v>538656497</v>
      </c>
      <c r="I56" s="5">
        <v>41276.359923371645</v>
      </c>
    </row>
    <row r="57" spans="1:9" x14ac:dyDescent="0.25">
      <c r="A57" t="s">
        <v>8</v>
      </c>
      <c r="B57" s="2" t="s">
        <v>64</v>
      </c>
      <c r="C57" t="s">
        <v>305</v>
      </c>
      <c r="E57" t="s">
        <v>285</v>
      </c>
      <c r="F57" t="s">
        <v>300</v>
      </c>
      <c r="G57">
        <v>48.55</v>
      </c>
      <c r="H57">
        <v>638813339</v>
      </c>
      <c r="I57" s="5">
        <v>48951.213716475097</v>
      </c>
    </row>
    <row r="58" spans="1:9" x14ac:dyDescent="0.25">
      <c r="A58" t="s">
        <v>8</v>
      </c>
      <c r="B58" s="2" t="s">
        <v>65</v>
      </c>
      <c r="C58" t="s">
        <v>304</v>
      </c>
      <c r="E58" t="s">
        <v>285</v>
      </c>
      <c r="F58" t="s">
        <v>301</v>
      </c>
      <c r="G58">
        <v>33.11</v>
      </c>
      <c r="H58">
        <v>494051748</v>
      </c>
      <c r="I58" s="5">
        <v>37858.371494252875</v>
      </c>
    </row>
    <row r="59" spans="1:9" x14ac:dyDescent="0.25">
      <c r="A59" t="s">
        <v>8</v>
      </c>
      <c r="B59" s="2" t="s">
        <v>66</v>
      </c>
      <c r="C59" t="s">
        <v>304</v>
      </c>
      <c r="E59" t="s">
        <v>285</v>
      </c>
      <c r="F59" t="s">
        <v>301</v>
      </c>
      <c r="G59">
        <v>31.6</v>
      </c>
      <c r="H59">
        <v>431859518</v>
      </c>
      <c r="I59" s="5">
        <v>33092.683371647508</v>
      </c>
    </row>
    <row r="60" spans="1:9" x14ac:dyDescent="0.25">
      <c r="A60" t="s">
        <v>8</v>
      </c>
      <c r="B60" s="2" t="s">
        <v>67</v>
      </c>
      <c r="C60" t="s">
        <v>304</v>
      </c>
      <c r="E60" t="s">
        <v>285</v>
      </c>
      <c r="F60" t="s">
        <v>301</v>
      </c>
      <c r="G60">
        <v>29.04</v>
      </c>
      <c r="H60">
        <v>429093882</v>
      </c>
      <c r="I60" s="5">
        <v>32880.75724137931</v>
      </c>
    </row>
    <row r="61" spans="1:9" x14ac:dyDescent="0.25">
      <c r="A61" t="s">
        <v>8</v>
      </c>
      <c r="B61" s="2" t="s">
        <v>68</v>
      </c>
      <c r="C61" t="s">
        <v>305</v>
      </c>
      <c r="E61" t="s">
        <v>285</v>
      </c>
      <c r="F61" t="s">
        <v>301</v>
      </c>
      <c r="G61">
        <v>40.44</v>
      </c>
      <c r="H61">
        <v>543587136</v>
      </c>
      <c r="I61" s="5">
        <v>41654.186666666668</v>
      </c>
    </row>
    <row r="62" spans="1:9" x14ac:dyDescent="0.25">
      <c r="A62" t="s">
        <v>8</v>
      </c>
      <c r="B62" s="2" t="s">
        <v>69</v>
      </c>
      <c r="C62" t="s">
        <v>305</v>
      </c>
      <c r="E62" t="s">
        <v>285</v>
      </c>
      <c r="F62" t="s">
        <v>301</v>
      </c>
      <c r="G62">
        <v>48.55</v>
      </c>
      <c r="H62">
        <v>678705321</v>
      </c>
      <c r="I62" s="5">
        <v>52008.070574712641</v>
      </c>
    </row>
    <row r="63" spans="1:9" x14ac:dyDescent="0.25">
      <c r="A63" t="s">
        <v>8</v>
      </c>
      <c r="B63" s="2" t="s">
        <v>70</v>
      </c>
      <c r="C63" t="s">
        <v>304</v>
      </c>
      <c r="E63" t="s">
        <v>285</v>
      </c>
      <c r="F63" t="s">
        <v>301</v>
      </c>
      <c r="G63">
        <v>29.04</v>
      </c>
      <c r="H63">
        <v>359323642</v>
      </c>
      <c r="I63" s="5">
        <v>27534.378697318007</v>
      </c>
    </row>
    <row r="64" spans="1:9" x14ac:dyDescent="0.25">
      <c r="A64" t="s">
        <v>8</v>
      </c>
      <c r="B64" s="2" t="s">
        <v>71</v>
      </c>
      <c r="C64" t="s">
        <v>304</v>
      </c>
      <c r="E64" t="s">
        <v>285</v>
      </c>
      <c r="F64" t="s">
        <v>301</v>
      </c>
      <c r="G64">
        <v>33.11</v>
      </c>
      <c r="H64">
        <v>447296954</v>
      </c>
      <c r="I64" s="5">
        <v>34275.628659003829</v>
      </c>
    </row>
    <row r="65" spans="1:9" x14ac:dyDescent="0.25">
      <c r="A65" t="s">
        <v>8</v>
      </c>
      <c r="B65" s="2" t="s">
        <v>72</v>
      </c>
      <c r="C65" t="s">
        <v>304</v>
      </c>
      <c r="E65" t="s">
        <v>285</v>
      </c>
      <c r="F65" t="s">
        <v>302</v>
      </c>
      <c r="G65">
        <v>33</v>
      </c>
      <c r="H65">
        <v>466682331</v>
      </c>
      <c r="I65" s="5">
        <v>35761.098160919537</v>
      </c>
    </row>
    <row r="66" spans="1:9" x14ac:dyDescent="0.25">
      <c r="A66" t="s">
        <v>8</v>
      </c>
      <c r="B66" s="2" t="s">
        <v>73</v>
      </c>
      <c r="C66" t="s">
        <v>304</v>
      </c>
      <c r="E66" t="s">
        <v>285</v>
      </c>
      <c r="F66" t="s">
        <v>302</v>
      </c>
      <c r="G66">
        <v>28.99</v>
      </c>
      <c r="H66">
        <v>340350188</v>
      </c>
      <c r="I66" s="5">
        <v>26080.47417624521</v>
      </c>
    </row>
    <row r="67" spans="1:9" x14ac:dyDescent="0.25">
      <c r="A67" t="s">
        <v>8</v>
      </c>
      <c r="B67" s="2" t="s">
        <v>74</v>
      </c>
      <c r="C67" t="s">
        <v>305</v>
      </c>
      <c r="E67" t="s">
        <v>285</v>
      </c>
      <c r="F67" t="s">
        <v>302</v>
      </c>
      <c r="G67">
        <v>40.33</v>
      </c>
      <c r="H67">
        <v>503440903</v>
      </c>
      <c r="I67" s="5">
        <v>38577.84697318008</v>
      </c>
    </row>
    <row r="68" spans="1:9" x14ac:dyDescent="0.25">
      <c r="A68" t="s">
        <v>8</v>
      </c>
      <c r="B68" s="2" t="s">
        <v>75</v>
      </c>
      <c r="C68" t="s">
        <v>305</v>
      </c>
      <c r="E68" t="s">
        <v>285</v>
      </c>
      <c r="F68" t="s">
        <v>302</v>
      </c>
      <c r="G68">
        <v>48.44</v>
      </c>
      <c r="H68">
        <v>630916577</v>
      </c>
      <c r="I68" s="5">
        <v>48346.097854406129</v>
      </c>
    </row>
    <row r="69" spans="1:9" x14ac:dyDescent="0.25">
      <c r="A69" t="s">
        <v>8</v>
      </c>
      <c r="B69" s="2" t="s">
        <v>76</v>
      </c>
      <c r="C69" t="s">
        <v>304</v>
      </c>
      <c r="E69" t="s">
        <v>285</v>
      </c>
      <c r="F69" t="s">
        <v>302</v>
      </c>
      <c r="G69">
        <v>28.99</v>
      </c>
      <c r="H69">
        <v>340350188</v>
      </c>
      <c r="I69" s="5">
        <v>26080.47417624521</v>
      </c>
    </row>
    <row r="70" spans="1:9" x14ac:dyDescent="0.25">
      <c r="A70" t="s">
        <v>8</v>
      </c>
      <c r="B70" s="2" t="s">
        <v>77</v>
      </c>
      <c r="C70" t="s">
        <v>304</v>
      </c>
      <c r="E70" t="s">
        <v>285</v>
      </c>
      <c r="F70" t="s">
        <v>302</v>
      </c>
      <c r="G70">
        <v>33</v>
      </c>
      <c r="H70">
        <v>387372284</v>
      </c>
      <c r="I70" s="5">
        <v>29683.699923371649</v>
      </c>
    </row>
    <row r="71" spans="1:9" x14ac:dyDescent="0.25">
      <c r="A71" t="s">
        <v>8</v>
      </c>
      <c r="B71" s="2" t="s">
        <v>78</v>
      </c>
      <c r="C71" t="s">
        <v>304</v>
      </c>
      <c r="E71" t="s">
        <v>285</v>
      </c>
      <c r="F71" t="s">
        <v>303</v>
      </c>
      <c r="G71">
        <v>33</v>
      </c>
      <c r="H71">
        <v>401054314</v>
      </c>
      <c r="I71" s="5">
        <v>30732.131340996169</v>
      </c>
    </row>
    <row r="72" spans="1:9" x14ac:dyDescent="0.25">
      <c r="A72" t="s">
        <v>8</v>
      </c>
      <c r="B72" s="2" t="s">
        <v>79</v>
      </c>
      <c r="C72" t="s">
        <v>304</v>
      </c>
      <c r="E72" t="s">
        <v>285</v>
      </c>
      <c r="F72" t="s">
        <v>303</v>
      </c>
      <c r="G72">
        <v>28.99</v>
      </c>
      <c r="H72">
        <v>364740285</v>
      </c>
      <c r="I72" s="5">
        <v>27949.447126436782</v>
      </c>
    </row>
    <row r="73" spans="1:9" x14ac:dyDescent="0.25">
      <c r="A73" t="s">
        <v>8</v>
      </c>
      <c r="B73" s="2" t="s">
        <v>80</v>
      </c>
      <c r="C73" t="s">
        <v>305</v>
      </c>
      <c r="E73" t="s">
        <v>285</v>
      </c>
      <c r="F73" t="s">
        <v>303</v>
      </c>
      <c r="G73">
        <v>40.33</v>
      </c>
      <c r="H73">
        <v>504851622</v>
      </c>
      <c r="I73" s="5">
        <v>38685.948045977013</v>
      </c>
    </row>
    <row r="74" spans="1:9" x14ac:dyDescent="0.25">
      <c r="A74" t="s">
        <v>8</v>
      </c>
      <c r="B74" s="2" t="s">
        <v>81</v>
      </c>
      <c r="C74" t="s">
        <v>305</v>
      </c>
      <c r="E74" t="s">
        <v>285</v>
      </c>
      <c r="F74" t="s">
        <v>303</v>
      </c>
      <c r="G74">
        <v>48.44</v>
      </c>
      <c r="H74">
        <v>589175799</v>
      </c>
      <c r="I74" s="5">
        <v>45147.570804597701</v>
      </c>
    </row>
    <row r="75" spans="1:9" x14ac:dyDescent="0.25">
      <c r="A75" t="s">
        <v>8</v>
      </c>
      <c r="B75" s="2" t="s">
        <v>82</v>
      </c>
      <c r="C75" t="s">
        <v>304</v>
      </c>
      <c r="E75" t="s">
        <v>285</v>
      </c>
      <c r="F75" t="s">
        <v>303</v>
      </c>
      <c r="G75">
        <v>28.99</v>
      </c>
      <c r="H75">
        <v>416252867</v>
      </c>
      <c r="I75" s="5">
        <v>31896.771417624521</v>
      </c>
    </row>
    <row r="76" spans="1:9" x14ac:dyDescent="0.25">
      <c r="A76" t="s">
        <v>8</v>
      </c>
      <c r="B76" s="2" t="s">
        <v>83</v>
      </c>
      <c r="C76" t="s">
        <v>304</v>
      </c>
      <c r="E76" t="s">
        <v>285</v>
      </c>
      <c r="F76" t="s">
        <v>303</v>
      </c>
      <c r="G76">
        <v>33</v>
      </c>
      <c r="H76">
        <v>401054314</v>
      </c>
      <c r="I76" s="5">
        <v>30732.131340996169</v>
      </c>
    </row>
    <row r="77" spans="1:9" x14ac:dyDescent="0.25">
      <c r="A77" t="s">
        <v>8</v>
      </c>
      <c r="B77" s="2" t="s">
        <v>84</v>
      </c>
      <c r="C77" t="s">
        <v>305</v>
      </c>
      <c r="E77" t="s">
        <v>286</v>
      </c>
      <c r="F77" t="s">
        <v>289</v>
      </c>
      <c r="G77">
        <v>55.51</v>
      </c>
      <c r="H77">
        <v>851702185</v>
      </c>
      <c r="I77" s="5">
        <v>65264.535249042143</v>
      </c>
    </row>
    <row r="78" spans="1:9" x14ac:dyDescent="0.25">
      <c r="A78" t="s">
        <v>8</v>
      </c>
      <c r="B78" s="2" t="s">
        <v>85</v>
      </c>
      <c r="C78" t="s">
        <v>305</v>
      </c>
      <c r="E78" t="s">
        <v>286</v>
      </c>
      <c r="F78" t="s">
        <v>289</v>
      </c>
      <c r="G78">
        <v>49.17</v>
      </c>
      <c r="H78">
        <v>739438951</v>
      </c>
      <c r="I78" s="5">
        <v>56661.988582375481</v>
      </c>
    </row>
    <row r="79" spans="1:9" x14ac:dyDescent="0.25">
      <c r="A79" t="s">
        <v>8</v>
      </c>
      <c r="B79" s="2" t="s">
        <v>86</v>
      </c>
      <c r="C79" t="s">
        <v>304</v>
      </c>
      <c r="E79" t="s">
        <v>286</v>
      </c>
      <c r="F79" t="s">
        <v>289</v>
      </c>
      <c r="G79">
        <v>33.6</v>
      </c>
      <c r="H79">
        <v>415580279</v>
      </c>
      <c r="I79" s="5">
        <v>31845.232107279695</v>
      </c>
    </row>
    <row r="80" spans="1:9" x14ac:dyDescent="0.25">
      <c r="A80" t="s">
        <v>8</v>
      </c>
      <c r="B80" s="2" t="s">
        <v>87</v>
      </c>
      <c r="C80" t="s">
        <v>306</v>
      </c>
      <c r="E80" t="s">
        <v>286</v>
      </c>
      <c r="F80" t="s">
        <v>289</v>
      </c>
      <c r="G80">
        <v>58.33</v>
      </c>
      <c r="H80">
        <v>819164992</v>
      </c>
      <c r="I80" s="5">
        <v>62771.263754789274</v>
      </c>
    </row>
    <row r="81" spans="1:9" x14ac:dyDescent="0.25">
      <c r="A81" t="s">
        <v>8</v>
      </c>
      <c r="B81" s="2" t="s">
        <v>88</v>
      </c>
      <c r="C81" t="s">
        <v>305</v>
      </c>
      <c r="E81" t="s">
        <v>286</v>
      </c>
      <c r="F81" t="s">
        <v>289</v>
      </c>
      <c r="G81">
        <v>56.73</v>
      </c>
      <c r="H81">
        <v>846692412</v>
      </c>
      <c r="I81" s="5">
        <v>64880.644597701146</v>
      </c>
    </row>
    <row r="82" spans="1:9" x14ac:dyDescent="0.25">
      <c r="A82" t="s">
        <v>8</v>
      </c>
      <c r="B82" s="2" t="s">
        <v>89</v>
      </c>
      <c r="C82" t="s">
        <v>305</v>
      </c>
      <c r="E82" t="s">
        <v>286</v>
      </c>
      <c r="F82" t="s">
        <v>290</v>
      </c>
      <c r="G82">
        <v>54.79</v>
      </c>
      <c r="H82">
        <v>719697420</v>
      </c>
      <c r="I82" s="5">
        <v>55149.2275862069</v>
      </c>
    </row>
    <row r="83" spans="1:9" x14ac:dyDescent="0.25">
      <c r="A83" t="s">
        <v>8</v>
      </c>
      <c r="B83" s="2" t="s">
        <v>90</v>
      </c>
      <c r="C83" t="s">
        <v>305</v>
      </c>
      <c r="E83" t="s">
        <v>286</v>
      </c>
      <c r="F83" t="s">
        <v>290</v>
      </c>
      <c r="G83">
        <v>48.9</v>
      </c>
      <c r="H83">
        <v>747825050</v>
      </c>
      <c r="I83" s="5">
        <v>57304.601532567052</v>
      </c>
    </row>
    <row r="84" spans="1:9" x14ac:dyDescent="0.25">
      <c r="A84" t="s">
        <v>8</v>
      </c>
      <c r="B84" s="2" t="s">
        <v>91</v>
      </c>
      <c r="C84" t="s">
        <v>304</v>
      </c>
      <c r="E84" t="s">
        <v>286</v>
      </c>
      <c r="F84" t="s">
        <v>290</v>
      </c>
      <c r="G84">
        <v>33.33</v>
      </c>
      <c r="H84">
        <v>423364624</v>
      </c>
      <c r="I84" s="5">
        <v>32441.733639846745</v>
      </c>
    </row>
    <row r="85" spans="1:9" x14ac:dyDescent="0.25">
      <c r="A85" t="s">
        <v>8</v>
      </c>
      <c r="B85" s="2" t="s">
        <v>92</v>
      </c>
      <c r="C85" t="s">
        <v>306</v>
      </c>
      <c r="E85" t="s">
        <v>286</v>
      </c>
      <c r="F85" t="s">
        <v>290</v>
      </c>
      <c r="G85">
        <v>57.83</v>
      </c>
      <c r="H85">
        <v>782001523</v>
      </c>
      <c r="I85" s="5">
        <v>59923.488352490422</v>
      </c>
    </row>
    <row r="86" spans="1:9" x14ac:dyDescent="0.25">
      <c r="A86" t="s">
        <v>8</v>
      </c>
      <c r="B86" s="2" t="s">
        <v>93</v>
      </c>
      <c r="C86" t="s">
        <v>305</v>
      </c>
      <c r="E86" t="s">
        <v>286</v>
      </c>
      <c r="F86" t="s">
        <v>290</v>
      </c>
      <c r="G86">
        <v>44.21</v>
      </c>
      <c r="H86">
        <v>638143505</v>
      </c>
      <c r="I86" s="5">
        <v>48899.885440613027</v>
      </c>
    </row>
    <row r="87" spans="1:9" x14ac:dyDescent="0.25">
      <c r="A87" t="s">
        <v>8</v>
      </c>
      <c r="B87" s="2" t="s">
        <v>94</v>
      </c>
      <c r="C87" t="s">
        <v>305</v>
      </c>
      <c r="E87" t="s">
        <v>286</v>
      </c>
      <c r="F87" t="s">
        <v>290</v>
      </c>
      <c r="G87">
        <v>56.24</v>
      </c>
      <c r="H87">
        <v>835356600</v>
      </c>
      <c r="I87" s="5">
        <v>64012</v>
      </c>
    </row>
    <row r="88" spans="1:9" x14ac:dyDescent="0.25">
      <c r="A88" t="s">
        <v>8</v>
      </c>
      <c r="B88" s="2" t="s">
        <v>95</v>
      </c>
      <c r="C88" t="s">
        <v>305</v>
      </c>
      <c r="E88" t="s">
        <v>286</v>
      </c>
      <c r="F88" t="s">
        <v>291</v>
      </c>
      <c r="G88">
        <v>54.79</v>
      </c>
      <c r="H88">
        <v>759026358</v>
      </c>
      <c r="I88" s="5">
        <v>58162.939310344831</v>
      </c>
    </row>
    <row r="89" spans="1:9" x14ac:dyDescent="0.25">
      <c r="A89" t="s">
        <v>8</v>
      </c>
      <c r="B89" s="2" t="s">
        <v>96</v>
      </c>
      <c r="C89" t="s">
        <v>305</v>
      </c>
      <c r="E89" t="s">
        <v>286</v>
      </c>
      <c r="F89" t="s">
        <v>291</v>
      </c>
      <c r="G89">
        <v>48.9</v>
      </c>
      <c r="H89">
        <v>747825050</v>
      </c>
      <c r="I89" s="5">
        <v>57304.601532567052</v>
      </c>
    </row>
    <row r="90" spans="1:9" x14ac:dyDescent="0.25">
      <c r="A90" t="s">
        <v>8</v>
      </c>
      <c r="B90" s="2" t="s">
        <v>97</v>
      </c>
      <c r="C90" t="s">
        <v>304</v>
      </c>
      <c r="E90" t="s">
        <v>286</v>
      </c>
      <c r="F90" t="s">
        <v>291</v>
      </c>
      <c r="G90">
        <v>33.33</v>
      </c>
      <c r="H90">
        <v>506351945</v>
      </c>
      <c r="I90" s="5">
        <v>38800.915325670496</v>
      </c>
    </row>
    <row r="91" spans="1:9" x14ac:dyDescent="0.25">
      <c r="A91" t="s">
        <v>8</v>
      </c>
      <c r="B91" s="2" t="s">
        <v>98</v>
      </c>
      <c r="C91" t="s">
        <v>306</v>
      </c>
      <c r="E91" t="s">
        <v>286</v>
      </c>
      <c r="F91" t="s">
        <v>291</v>
      </c>
      <c r="G91">
        <v>57.83</v>
      </c>
      <c r="H91">
        <v>690636045</v>
      </c>
      <c r="I91" s="5">
        <v>52922.302298850576</v>
      </c>
    </row>
    <row r="92" spans="1:9" x14ac:dyDescent="0.25">
      <c r="A92" t="s">
        <v>8</v>
      </c>
      <c r="B92" s="2" t="s">
        <v>99</v>
      </c>
      <c r="C92" t="s">
        <v>305</v>
      </c>
      <c r="E92" t="s">
        <v>286</v>
      </c>
      <c r="F92" t="s">
        <v>291</v>
      </c>
      <c r="G92">
        <v>44.21</v>
      </c>
      <c r="H92">
        <v>716061114</v>
      </c>
      <c r="I92" s="5">
        <v>54870.583448275866</v>
      </c>
    </row>
    <row r="93" spans="1:9" x14ac:dyDescent="0.25">
      <c r="A93" t="s">
        <v>8</v>
      </c>
      <c r="B93" s="2" t="s">
        <v>100</v>
      </c>
      <c r="C93" t="s">
        <v>305</v>
      </c>
      <c r="E93" t="s">
        <v>286</v>
      </c>
      <c r="F93" t="s">
        <v>291</v>
      </c>
      <c r="G93">
        <v>56.24</v>
      </c>
      <c r="H93">
        <v>737425792</v>
      </c>
      <c r="I93" s="5">
        <v>56507.723524904213</v>
      </c>
    </row>
    <row r="94" spans="1:9" x14ac:dyDescent="0.25">
      <c r="A94" t="s">
        <v>8</v>
      </c>
      <c r="B94" s="2" t="s">
        <v>101</v>
      </c>
      <c r="C94" t="s">
        <v>305</v>
      </c>
      <c r="E94" t="s">
        <v>286</v>
      </c>
      <c r="F94" t="s">
        <v>292</v>
      </c>
      <c r="G94">
        <v>54.79</v>
      </c>
      <c r="H94">
        <v>738733511</v>
      </c>
      <c r="I94" s="5">
        <v>56607.931877394636</v>
      </c>
    </row>
    <row r="95" spans="1:9" x14ac:dyDescent="0.25">
      <c r="A95" t="s">
        <v>8</v>
      </c>
      <c r="B95" s="2" t="s">
        <v>102</v>
      </c>
      <c r="C95" t="s">
        <v>305</v>
      </c>
      <c r="E95" t="s">
        <v>286</v>
      </c>
      <c r="F95" t="s">
        <v>292</v>
      </c>
      <c r="G95">
        <v>48.9</v>
      </c>
      <c r="H95">
        <v>666962348</v>
      </c>
      <c r="I95" s="5">
        <v>51108.225900383142</v>
      </c>
    </row>
    <row r="96" spans="1:9" x14ac:dyDescent="0.25">
      <c r="A96" t="s">
        <v>8</v>
      </c>
      <c r="B96" s="2" t="s">
        <v>103</v>
      </c>
      <c r="C96" t="s">
        <v>304</v>
      </c>
      <c r="E96" t="s">
        <v>286</v>
      </c>
      <c r="F96" t="s">
        <v>292</v>
      </c>
      <c r="G96">
        <v>33.33</v>
      </c>
      <c r="H96">
        <v>519558955</v>
      </c>
      <c r="I96" s="5">
        <v>39812.946743295019</v>
      </c>
    </row>
    <row r="97" spans="1:9" x14ac:dyDescent="0.25">
      <c r="A97" t="s">
        <v>8</v>
      </c>
      <c r="B97" s="2" t="s">
        <v>104</v>
      </c>
      <c r="C97" t="s">
        <v>306</v>
      </c>
      <c r="E97" t="s">
        <v>286</v>
      </c>
      <c r="F97" t="s">
        <v>292</v>
      </c>
      <c r="G97">
        <v>57.83</v>
      </c>
      <c r="H97">
        <v>731043717</v>
      </c>
      <c r="I97" s="5">
        <v>56018.675632183906</v>
      </c>
    </row>
    <row r="98" spans="1:9" x14ac:dyDescent="0.25">
      <c r="A98" t="s">
        <v>8</v>
      </c>
      <c r="B98" s="2" t="s">
        <v>105</v>
      </c>
      <c r="C98" t="s">
        <v>305</v>
      </c>
      <c r="E98" t="s">
        <v>286</v>
      </c>
      <c r="F98" t="s">
        <v>292</v>
      </c>
      <c r="G98">
        <v>44.21</v>
      </c>
      <c r="H98">
        <v>589693415</v>
      </c>
      <c r="I98" s="5">
        <v>45187.234865900384</v>
      </c>
    </row>
    <row r="99" spans="1:9" x14ac:dyDescent="0.25">
      <c r="A99" t="s">
        <v>8</v>
      </c>
      <c r="B99" s="2" t="s">
        <v>106</v>
      </c>
      <c r="C99" t="s">
        <v>305</v>
      </c>
      <c r="E99" t="s">
        <v>286</v>
      </c>
      <c r="F99" t="s">
        <v>292</v>
      </c>
      <c r="G99">
        <v>56.24</v>
      </c>
      <c r="H99">
        <v>764668963</v>
      </c>
      <c r="I99" s="5">
        <v>58595.322835249041</v>
      </c>
    </row>
    <row r="100" spans="1:9" x14ac:dyDescent="0.25">
      <c r="A100" t="s">
        <v>8</v>
      </c>
      <c r="B100" s="2" t="s">
        <v>107</v>
      </c>
      <c r="C100" t="s">
        <v>305</v>
      </c>
      <c r="E100" t="s">
        <v>286</v>
      </c>
      <c r="F100" t="s">
        <v>293</v>
      </c>
      <c r="G100">
        <v>54.79</v>
      </c>
      <c r="H100">
        <v>670381447</v>
      </c>
      <c r="I100" s="5">
        <v>51370.225823754787</v>
      </c>
    </row>
    <row r="101" spans="1:9" x14ac:dyDescent="0.25">
      <c r="A101" t="s">
        <v>8</v>
      </c>
      <c r="B101" s="2" t="s">
        <v>108</v>
      </c>
      <c r="C101" t="s">
        <v>305</v>
      </c>
      <c r="E101" t="s">
        <v>286</v>
      </c>
      <c r="F101" t="s">
        <v>293</v>
      </c>
      <c r="G101">
        <v>48.9</v>
      </c>
      <c r="H101">
        <v>696605119</v>
      </c>
      <c r="I101" s="5">
        <v>53379.702605363986</v>
      </c>
    </row>
    <row r="102" spans="1:9" x14ac:dyDescent="0.25">
      <c r="A102" t="s">
        <v>8</v>
      </c>
      <c r="B102" s="2" t="s">
        <v>109</v>
      </c>
      <c r="C102" t="s">
        <v>304</v>
      </c>
      <c r="E102" t="s">
        <v>286</v>
      </c>
      <c r="F102" t="s">
        <v>293</v>
      </c>
      <c r="G102">
        <v>33.33</v>
      </c>
      <c r="H102">
        <v>400594562</v>
      </c>
      <c r="I102" s="5">
        <v>30696.901302681992</v>
      </c>
    </row>
    <row r="103" spans="1:9" x14ac:dyDescent="0.25">
      <c r="A103" t="s">
        <v>8</v>
      </c>
      <c r="B103" s="2" t="s">
        <v>110</v>
      </c>
      <c r="C103" t="s">
        <v>306</v>
      </c>
      <c r="E103" t="s">
        <v>286</v>
      </c>
      <c r="F103" t="s">
        <v>293</v>
      </c>
      <c r="G103">
        <v>57.83</v>
      </c>
      <c r="H103">
        <v>740659108</v>
      </c>
      <c r="I103" s="5">
        <v>56755.487203065131</v>
      </c>
    </row>
    <row r="104" spans="1:9" x14ac:dyDescent="0.25">
      <c r="A104" t="s">
        <v>8</v>
      </c>
      <c r="B104" s="2" t="s">
        <v>111</v>
      </c>
      <c r="C104" t="s">
        <v>305</v>
      </c>
      <c r="E104" t="s">
        <v>286</v>
      </c>
      <c r="F104" t="s">
        <v>293</v>
      </c>
      <c r="G104">
        <v>44.21</v>
      </c>
      <c r="H104">
        <v>671495728</v>
      </c>
      <c r="I104" s="5">
        <v>51455.611340996169</v>
      </c>
    </row>
    <row r="105" spans="1:9" x14ac:dyDescent="0.25">
      <c r="A105" t="s">
        <v>8</v>
      </c>
      <c r="B105" s="2" t="s">
        <v>112</v>
      </c>
      <c r="C105" t="s">
        <v>305</v>
      </c>
      <c r="E105" t="s">
        <v>286</v>
      </c>
      <c r="F105" t="s">
        <v>293</v>
      </c>
      <c r="G105">
        <v>56.24</v>
      </c>
      <c r="H105">
        <v>744650887</v>
      </c>
      <c r="I105" s="5">
        <v>57061.370651341</v>
      </c>
    </row>
    <row r="106" spans="1:9" x14ac:dyDescent="0.25">
      <c r="A106" t="s">
        <v>8</v>
      </c>
      <c r="B106" s="2" t="s">
        <v>113</v>
      </c>
      <c r="C106" t="s">
        <v>305</v>
      </c>
      <c r="E106" t="s">
        <v>286</v>
      </c>
      <c r="F106" t="s">
        <v>294</v>
      </c>
      <c r="G106">
        <v>54.79</v>
      </c>
      <c r="H106">
        <v>785444905</v>
      </c>
      <c r="I106" s="5">
        <v>60187.349042145594</v>
      </c>
    </row>
    <row r="107" spans="1:9" x14ac:dyDescent="0.25">
      <c r="A107" t="s">
        <v>8</v>
      </c>
      <c r="B107" s="2" t="s">
        <v>114</v>
      </c>
      <c r="C107" t="s">
        <v>305</v>
      </c>
      <c r="E107" t="s">
        <v>286</v>
      </c>
      <c r="F107" t="s">
        <v>294</v>
      </c>
      <c r="G107">
        <v>48.9</v>
      </c>
      <c r="H107">
        <v>708822315</v>
      </c>
      <c r="I107" s="5">
        <v>54315.886206896554</v>
      </c>
    </row>
    <row r="108" spans="1:9" x14ac:dyDescent="0.25">
      <c r="A108" t="s">
        <v>8</v>
      </c>
      <c r="B108" s="2" t="s">
        <v>115</v>
      </c>
      <c r="C108" t="s">
        <v>304</v>
      </c>
      <c r="E108" t="s">
        <v>286</v>
      </c>
      <c r="F108" t="s">
        <v>294</v>
      </c>
      <c r="G108">
        <v>33.33</v>
      </c>
      <c r="H108">
        <v>393761154</v>
      </c>
      <c r="I108" s="5">
        <v>30173.268505747128</v>
      </c>
    </row>
    <row r="109" spans="1:9" x14ac:dyDescent="0.25">
      <c r="A109" t="s">
        <v>8</v>
      </c>
      <c r="B109" s="2" t="s">
        <v>116</v>
      </c>
      <c r="C109" t="s">
        <v>306</v>
      </c>
      <c r="E109" t="s">
        <v>286</v>
      </c>
      <c r="F109" t="s">
        <v>294</v>
      </c>
      <c r="G109">
        <v>57.83</v>
      </c>
      <c r="H109">
        <v>747924713</v>
      </c>
      <c r="I109" s="5">
        <v>57312.2385440613</v>
      </c>
    </row>
    <row r="110" spans="1:9" x14ac:dyDescent="0.25">
      <c r="A110" t="s">
        <v>8</v>
      </c>
      <c r="B110" s="2" t="s">
        <v>117</v>
      </c>
      <c r="C110" t="s">
        <v>305</v>
      </c>
      <c r="E110" t="s">
        <v>286</v>
      </c>
      <c r="F110" t="s">
        <v>294</v>
      </c>
      <c r="G110">
        <v>44.21</v>
      </c>
      <c r="H110">
        <v>601390038</v>
      </c>
      <c r="I110" s="5">
        <v>46083.527816091955</v>
      </c>
    </row>
    <row r="111" spans="1:9" x14ac:dyDescent="0.25">
      <c r="A111" t="s">
        <v>8</v>
      </c>
      <c r="B111" s="2" t="s">
        <v>118</v>
      </c>
      <c r="C111" t="s">
        <v>305</v>
      </c>
      <c r="E111" t="s">
        <v>286</v>
      </c>
      <c r="F111" t="s">
        <v>294</v>
      </c>
      <c r="G111">
        <v>56.24</v>
      </c>
      <c r="H111">
        <v>722353001</v>
      </c>
      <c r="I111" s="5">
        <v>55352.720383141765</v>
      </c>
    </row>
    <row r="112" spans="1:9" x14ac:dyDescent="0.25">
      <c r="A112" t="s">
        <v>8</v>
      </c>
      <c r="B112" s="2" t="s">
        <v>119</v>
      </c>
      <c r="C112" t="s">
        <v>305</v>
      </c>
      <c r="E112" t="s">
        <v>286</v>
      </c>
      <c r="F112" t="s">
        <v>295</v>
      </c>
      <c r="G112">
        <v>54.79</v>
      </c>
      <c r="H112">
        <v>765802623</v>
      </c>
      <c r="I112" s="5">
        <v>58682.193333333336</v>
      </c>
    </row>
    <row r="113" spans="1:9" x14ac:dyDescent="0.25">
      <c r="A113" t="s">
        <v>8</v>
      </c>
      <c r="B113" s="2" t="s">
        <v>120</v>
      </c>
      <c r="C113" t="s">
        <v>305</v>
      </c>
      <c r="E113" t="s">
        <v>286</v>
      </c>
      <c r="F113" t="s">
        <v>295</v>
      </c>
      <c r="G113">
        <v>48.9</v>
      </c>
      <c r="H113">
        <v>655836186</v>
      </c>
      <c r="I113" s="5">
        <v>50255.646436781608</v>
      </c>
    </row>
    <row r="114" spans="1:9" x14ac:dyDescent="0.25">
      <c r="A114" t="s">
        <v>8</v>
      </c>
      <c r="B114" s="2" t="s">
        <v>121</v>
      </c>
      <c r="C114" t="s">
        <v>304</v>
      </c>
      <c r="E114" t="s">
        <v>286</v>
      </c>
      <c r="F114" t="s">
        <v>295</v>
      </c>
      <c r="G114">
        <v>33.33</v>
      </c>
      <c r="H114">
        <v>409235979</v>
      </c>
      <c r="I114" s="5">
        <v>31359.078850574711</v>
      </c>
    </row>
    <row r="115" spans="1:9" x14ac:dyDescent="0.25">
      <c r="A115" t="s">
        <v>8</v>
      </c>
      <c r="B115" s="2" t="s">
        <v>122</v>
      </c>
      <c r="C115" t="s">
        <v>306</v>
      </c>
      <c r="E115" t="s">
        <v>286</v>
      </c>
      <c r="F115" t="s">
        <v>295</v>
      </c>
      <c r="G115">
        <v>57.83</v>
      </c>
      <c r="H115">
        <v>756935855</v>
      </c>
      <c r="I115" s="5">
        <v>58002.747509578541</v>
      </c>
    </row>
    <row r="116" spans="1:9" x14ac:dyDescent="0.25">
      <c r="A116" t="s">
        <v>8</v>
      </c>
      <c r="B116" s="2" t="s">
        <v>123</v>
      </c>
      <c r="C116" t="s">
        <v>305</v>
      </c>
      <c r="E116" t="s">
        <v>286</v>
      </c>
      <c r="F116" t="s">
        <v>295</v>
      </c>
      <c r="G116">
        <v>44.21</v>
      </c>
      <c r="H116">
        <v>611257714</v>
      </c>
      <c r="I116" s="5">
        <v>46839.671570881226</v>
      </c>
    </row>
    <row r="117" spans="1:9" x14ac:dyDescent="0.25">
      <c r="A117" t="s">
        <v>8</v>
      </c>
      <c r="B117" s="2" t="s">
        <v>124</v>
      </c>
      <c r="C117" t="s">
        <v>305</v>
      </c>
      <c r="E117" t="s">
        <v>286</v>
      </c>
      <c r="F117" t="s">
        <v>295</v>
      </c>
      <c r="G117">
        <v>56.24</v>
      </c>
      <c r="H117">
        <v>774062681</v>
      </c>
      <c r="I117" s="5">
        <v>59315.147969348662</v>
      </c>
    </row>
    <row r="118" spans="1:9" x14ac:dyDescent="0.25">
      <c r="A118" t="s">
        <v>8</v>
      </c>
      <c r="B118" s="2" t="s">
        <v>125</v>
      </c>
      <c r="C118" t="s">
        <v>305</v>
      </c>
      <c r="E118" t="s">
        <v>286</v>
      </c>
      <c r="F118" t="s">
        <v>296</v>
      </c>
      <c r="G118">
        <v>54.86</v>
      </c>
      <c r="H118">
        <v>709326977</v>
      </c>
      <c r="I118" s="5">
        <v>54354.557624521076</v>
      </c>
    </row>
    <row r="119" spans="1:9" x14ac:dyDescent="0.25">
      <c r="A119" t="s">
        <v>8</v>
      </c>
      <c r="B119" s="2" t="s">
        <v>126</v>
      </c>
      <c r="C119" t="s">
        <v>305</v>
      </c>
      <c r="E119" t="s">
        <v>286</v>
      </c>
      <c r="F119" t="s">
        <v>296</v>
      </c>
      <c r="G119">
        <v>48.97</v>
      </c>
      <c r="H119">
        <v>701050091</v>
      </c>
      <c r="I119" s="5">
        <v>53720.313486590036</v>
      </c>
    </row>
    <row r="120" spans="1:9" x14ac:dyDescent="0.25">
      <c r="A120" t="s">
        <v>8</v>
      </c>
      <c r="B120" s="2" t="s">
        <v>127</v>
      </c>
      <c r="C120" t="s">
        <v>304</v>
      </c>
      <c r="E120" t="s">
        <v>286</v>
      </c>
      <c r="F120" t="s">
        <v>296</v>
      </c>
      <c r="G120">
        <v>33.4</v>
      </c>
      <c r="H120">
        <v>387768113</v>
      </c>
      <c r="I120" s="5">
        <v>29714.031647509579</v>
      </c>
    </row>
    <row r="121" spans="1:9" x14ac:dyDescent="0.25">
      <c r="A121" t="s">
        <v>8</v>
      </c>
      <c r="B121" s="2" t="s">
        <v>128</v>
      </c>
      <c r="C121" t="s">
        <v>306</v>
      </c>
      <c r="E121" t="s">
        <v>286</v>
      </c>
      <c r="F121" t="s">
        <v>296</v>
      </c>
      <c r="G121">
        <v>57.9</v>
      </c>
      <c r="H121">
        <v>825760124</v>
      </c>
      <c r="I121" s="5">
        <v>63276.63785440613</v>
      </c>
    </row>
    <row r="122" spans="1:9" x14ac:dyDescent="0.25">
      <c r="A122" t="s">
        <v>8</v>
      </c>
      <c r="B122" s="2" t="s">
        <v>129</v>
      </c>
      <c r="C122" t="s">
        <v>305</v>
      </c>
      <c r="E122" t="s">
        <v>286</v>
      </c>
      <c r="F122" t="s">
        <v>296</v>
      </c>
      <c r="G122">
        <v>44.28</v>
      </c>
      <c r="H122">
        <v>529889776</v>
      </c>
      <c r="I122" s="5">
        <v>40604.580536398469</v>
      </c>
    </row>
    <row r="123" spans="1:9" x14ac:dyDescent="0.25">
      <c r="A123" t="s">
        <v>8</v>
      </c>
      <c r="B123" s="2" t="s">
        <v>130</v>
      </c>
      <c r="C123" t="s">
        <v>305</v>
      </c>
      <c r="E123" t="s">
        <v>286</v>
      </c>
      <c r="F123" t="s">
        <v>296</v>
      </c>
      <c r="G123">
        <v>56.31</v>
      </c>
      <c r="H123">
        <v>719586079</v>
      </c>
      <c r="I123" s="5">
        <v>55140.695708812258</v>
      </c>
    </row>
    <row r="124" spans="1:9" x14ac:dyDescent="0.25">
      <c r="A124" t="s">
        <v>8</v>
      </c>
      <c r="B124" s="2" t="s">
        <v>131</v>
      </c>
      <c r="C124" t="s">
        <v>305</v>
      </c>
      <c r="E124" t="s">
        <v>286</v>
      </c>
      <c r="F124" t="s">
        <v>297</v>
      </c>
      <c r="G124">
        <v>54.86</v>
      </c>
      <c r="H124">
        <v>748752360</v>
      </c>
      <c r="I124" s="5">
        <v>57375.659770114944</v>
      </c>
    </row>
    <row r="125" spans="1:9" x14ac:dyDescent="0.25">
      <c r="A125" t="s">
        <v>8</v>
      </c>
      <c r="B125" s="2" t="s">
        <v>132</v>
      </c>
      <c r="C125" t="s">
        <v>305</v>
      </c>
      <c r="E125" t="s">
        <v>286</v>
      </c>
      <c r="F125" t="s">
        <v>297</v>
      </c>
      <c r="G125">
        <v>48.97</v>
      </c>
      <c r="H125">
        <v>597447559</v>
      </c>
      <c r="I125" s="5">
        <v>45781.422145593868</v>
      </c>
    </row>
    <row r="126" spans="1:9" x14ac:dyDescent="0.25">
      <c r="A126" t="s">
        <v>8</v>
      </c>
      <c r="B126" s="2" t="s">
        <v>133</v>
      </c>
      <c r="C126" t="s">
        <v>304</v>
      </c>
      <c r="E126" t="s">
        <v>286</v>
      </c>
      <c r="F126" t="s">
        <v>297</v>
      </c>
      <c r="G126">
        <v>33.4</v>
      </c>
      <c r="H126">
        <v>503400960</v>
      </c>
      <c r="I126" s="5">
        <v>38574.786206896555</v>
      </c>
    </row>
    <row r="127" spans="1:9" x14ac:dyDescent="0.25">
      <c r="A127" t="s">
        <v>8</v>
      </c>
      <c r="B127" s="2" t="s">
        <v>134</v>
      </c>
      <c r="C127" t="s">
        <v>306</v>
      </c>
      <c r="E127" t="s">
        <v>286</v>
      </c>
      <c r="F127" t="s">
        <v>297</v>
      </c>
      <c r="G127">
        <v>57.9</v>
      </c>
      <c r="H127">
        <v>742390452</v>
      </c>
      <c r="I127" s="5">
        <v>56888.157241379311</v>
      </c>
    </row>
    <row r="128" spans="1:9" x14ac:dyDescent="0.25">
      <c r="A128" t="s">
        <v>8</v>
      </c>
      <c r="B128" s="2" t="s">
        <v>135</v>
      </c>
      <c r="C128" t="s">
        <v>305</v>
      </c>
      <c r="E128" t="s">
        <v>286</v>
      </c>
      <c r="F128" t="s">
        <v>297</v>
      </c>
      <c r="G128">
        <v>44.28</v>
      </c>
      <c r="H128">
        <v>552282678</v>
      </c>
      <c r="I128" s="5">
        <v>42320.511724137934</v>
      </c>
    </row>
    <row r="129" spans="1:9" x14ac:dyDescent="0.25">
      <c r="A129" t="s">
        <v>8</v>
      </c>
      <c r="B129" s="2" t="s">
        <v>136</v>
      </c>
      <c r="C129" t="s">
        <v>305</v>
      </c>
      <c r="E129" t="s">
        <v>286</v>
      </c>
      <c r="F129" t="s">
        <v>297</v>
      </c>
      <c r="G129">
        <v>56.31</v>
      </c>
      <c r="H129">
        <v>758414415</v>
      </c>
      <c r="I129" s="5">
        <v>58116.047126436781</v>
      </c>
    </row>
    <row r="130" spans="1:9" x14ac:dyDescent="0.25">
      <c r="A130" t="s">
        <v>8</v>
      </c>
      <c r="B130" s="2" t="s">
        <v>137</v>
      </c>
      <c r="C130" t="s">
        <v>305</v>
      </c>
      <c r="E130" t="s">
        <v>286</v>
      </c>
      <c r="F130" t="s">
        <v>298</v>
      </c>
      <c r="G130">
        <v>48.97</v>
      </c>
      <c r="H130">
        <v>790123513</v>
      </c>
      <c r="I130" s="5">
        <v>60545.863065134101</v>
      </c>
    </row>
    <row r="131" spans="1:9" x14ac:dyDescent="0.25">
      <c r="A131" t="s">
        <v>8</v>
      </c>
      <c r="B131" s="2" t="s">
        <v>138</v>
      </c>
      <c r="C131" t="s">
        <v>304</v>
      </c>
      <c r="E131" t="s">
        <v>286</v>
      </c>
      <c r="F131" t="s">
        <v>298</v>
      </c>
      <c r="G131">
        <v>33.4</v>
      </c>
      <c r="H131">
        <v>494774562</v>
      </c>
      <c r="I131" s="5">
        <v>37913.759540229883</v>
      </c>
    </row>
    <row r="132" spans="1:9" x14ac:dyDescent="0.25">
      <c r="A132" t="s">
        <v>8</v>
      </c>
      <c r="B132" s="2" t="s">
        <v>139</v>
      </c>
      <c r="C132" t="s">
        <v>306</v>
      </c>
      <c r="E132" t="s">
        <v>286</v>
      </c>
      <c r="F132" t="s">
        <v>298</v>
      </c>
      <c r="G132">
        <v>57.9</v>
      </c>
      <c r="H132">
        <v>716371157</v>
      </c>
      <c r="I132" s="5">
        <v>54894.34153256705</v>
      </c>
    </row>
    <row r="133" spans="1:9" x14ac:dyDescent="0.25">
      <c r="A133" t="s">
        <v>8</v>
      </c>
      <c r="B133" s="2" t="s">
        <v>140</v>
      </c>
      <c r="C133" t="s">
        <v>305</v>
      </c>
      <c r="E133" t="s">
        <v>286</v>
      </c>
      <c r="F133" t="s">
        <v>298</v>
      </c>
      <c r="G133">
        <v>44.28</v>
      </c>
      <c r="H133">
        <v>644760945</v>
      </c>
      <c r="I133" s="5">
        <v>49406.968965517241</v>
      </c>
    </row>
    <row r="134" spans="1:9" x14ac:dyDescent="0.25">
      <c r="A134" t="s">
        <v>8</v>
      </c>
      <c r="B134" s="2" t="s">
        <v>141</v>
      </c>
      <c r="C134" t="s">
        <v>305</v>
      </c>
      <c r="E134" t="s">
        <v>286</v>
      </c>
      <c r="F134" t="s">
        <v>298</v>
      </c>
      <c r="G134">
        <v>56.31</v>
      </c>
      <c r="H134">
        <v>759282319</v>
      </c>
      <c r="I134" s="5">
        <v>58182.553180076626</v>
      </c>
    </row>
    <row r="135" spans="1:9" x14ac:dyDescent="0.25">
      <c r="A135" t="s">
        <v>8</v>
      </c>
      <c r="B135" s="2" t="s">
        <v>142</v>
      </c>
      <c r="C135" t="s">
        <v>305</v>
      </c>
      <c r="E135" t="s">
        <v>286</v>
      </c>
      <c r="F135" t="s">
        <v>299</v>
      </c>
      <c r="G135">
        <v>54.86</v>
      </c>
      <c r="H135">
        <v>802921733</v>
      </c>
      <c r="I135" s="5">
        <v>61526.569578544062</v>
      </c>
    </row>
    <row r="136" spans="1:9" x14ac:dyDescent="0.25">
      <c r="A136" t="s">
        <v>8</v>
      </c>
      <c r="B136" s="2" t="s">
        <v>143</v>
      </c>
      <c r="C136" t="s">
        <v>305</v>
      </c>
      <c r="E136" t="s">
        <v>286</v>
      </c>
      <c r="F136" t="s">
        <v>299</v>
      </c>
      <c r="G136">
        <v>48.97</v>
      </c>
      <c r="H136">
        <v>617300632</v>
      </c>
      <c r="I136" s="5">
        <v>47302.730421455941</v>
      </c>
    </row>
    <row r="137" spans="1:9" x14ac:dyDescent="0.25">
      <c r="A137" t="s">
        <v>8</v>
      </c>
      <c r="B137" s="2" t="s">
        <v>144</v>
      </c>
      <c r="C137" t="s">
        <v>304</v>
      </c>
      <c r="E137" t="s">
        <v>286</v>
      </c>
      <c r="F137" t="s">
        <v>299</v>
      </c>
      <c r="G137">
        <v>33.4</v>
      </c>
      <c r="H137">
        <v>399404401</v>
      </c>
      <c r="I137" s="5">
        <v>30605.701226053639</v>
      </c>
    </row>
    <row r="138" spans="1:9" x14ac:dyDescent="0.25">
      <c r="A138" t="s">
        <v>8</v>
      </c>
      <c r="B138" s="2" t="s">
        <v>145</v>
      </c>
      <c r="C138" t="s">
        <v>306</v>
      </c>
      <c r="E138" t="s">
        <v>286</v>
      </c>
      <c r="F138" t="s">
        <v>299</v>
      </c>
      <c r="G138">
        <v>57.9</v>
      </c>
      <c r="H138">
        <v>812469726</v>
      </c>
      <c r="I138" s="5">
        <v>62258.216551724137</v>
      </c>
    </row>
    <row r="139" spans="1:9" x14ac:dyDescent="0.25">
      <c r="A139" t="s">
        <v>8</v>
      </c>
      <c r="B139" s="2" t="s">
        <v>146</v>
      </c>
      <c r="C139" t="s">
        <v>305</v>
      </c>
      <c r="E139" t="s">
        <v>286</v>
      </c>
      <c r="F139" t="s">
        <v>299</v>
      </c>
      <c r="G139">
        <v>44.28</v>
      </c>
      <c r="H139">
        <v>616976401</v>
      </c>
      <c r="I139" s="5">
        <v>47277.885134099619</v>
      </c>
    </row>
    <row r="140" spans="1:9" x14ac:dyDescent="0.25">
      <c r="A140" t="s">
        <v>8</v>
      </c>
      <c r="B140" s="2" t="s">
        <v>147</v>
      </c>
      <c r="C140" t="s">
        <v>305</v>
      </c>
      <c r="E140" t="s">
        <v>286</v>
      </c>
      <c r="F140" t="s">
        <v>299</v>
      </c>
      <c r="G140">
        <v>56.31</v>
      </c>
      <c r="H140">
        <v>738144386</v>
      </c>
      <c r="I140" s="5">
        <v>56562.788199233713</v>
      </c>
    </row>
    <row r="141" spans="1:9" x14ac:dyDescent="0.25">
      <c r="A141" t="s">
        <v>8</v>
      </c>
      <c r="B141" s="2" t="s">
        <v>148</v>
      </c>
      <c r="C141" t="s">
        <v>305</v>
      </c>
      <c r="E141" t="s">
        <v>286</v>
      </c>
      <c r="F141" t="s">
        <v>300</v>
      </c>
      <c r="G141">
        <v>54.86</v>
      </c>
      <c r="H141">
        <v>646681549</v>
      </c>
      <c r="I141" s="5">
        <v>49554.141685823757</v>
      </c>
    </row>
    <row r="142" spans="1:9" x14ac:dyDescent="0.25">
      <c r="A142" t="s">
        <v>8</v>
      </c>
      <c r="B142" s="2" t="s">
        <v>149</v>
      </c>
      <c r="C142" t="s">
        <v>305</v>
      </c>
      <c r="E142" t="s">
        <v>286</v>
      </c>
      <c r="F142" t="s">
        <v>300</v>
      </c>
      <c r="G142">
        <v>48.97</v>
      </c>
      <c r="H142">
        <v>591444793</v>
      </c>
      <c r="I142" s="5">
        <v>45321.440076628351</v>
      </c>
    </row>
    <row r="143" spans="1:9" x14ac:dyDescent="0.25">
      <c r="A143" t="s">
        <v>8</v>
      </c>
      <c r="B143" s="2" t="s">
        <v>150</v>
      </c>
      <c r="C143" t="s">
        <v>304</v>
      </c>
      <c r="E143" t="s">
        <v>286</v>
      </c>
      <c r="F143" t="s">
        <v>300</v>
      </c>
      <c r="G143">
        <v>33.4</v>
      </c>
      <c r="H143">
        <v>457920697</v>
      </c>
      <c r="I143" s="5">
        <v>35089.708582375482</v>
      </c>
    </row>
    <row r="144" spans="1:9" x14ac:dyDescent="0.25">
      <c r="A144" t="s">
        <v>8</v>
      </c>
      <c r="B144" s="2" t="s">
        <v>151</v>
      </c>
      <c r="C144" t="s">
        <v>306</v>
      </c>
      <c r="E144" t="s">
        <v>286</v>
      </c>
      <c r="F144" t="s">
        <v>300</v>
      </c>
      <c r="G144">
        <v>57.9</v>
      </c>
      <c r="H144">
        <v>752797723</v>
      </c>
      <c r="I144" s="5">
        <v>57685.649272030649</v>
      </c>
    </row>
    <row r="145" spans="1:9" x14ac:dyDescent="0.25">
      <c r="A145" t="s">
        <v>8</v>
      </c>
      <c r="B145" s="2" t="s">
        <v>152</v>
      </c>
      <c r="C145" t="s">
        <v>305</v>
      </c>
      <c r="E145" t="s">
        <v>286</v>
      </c>
      <c r="F145" t="s">
        <v>300</v>
      </c>
      <c r="G145">
        <v>44.28</v>
      </c>
      <c r="H145">
        <v>579865658</v>
      </c>
      <c r="I145" s="5">
        <v>44434.150038314176</v>
      </c>
    </row>
    <row r="146" spans="1:9" x14ac:dyDescent="0.25">
      <c r="A146" t="s">
        <v>8</v>
      </c>
      <c r="B146" s="2" t="s">
        <v>153</v>
      </c>
      <c r="C146" t="s">
        <v>305</v>
      </c>
      <c r="E146" t="s">
        <v>286</v>
      </c>
      <c r="F146" t="s">
        <v>300</v>
      </c>
      <c r="G146">
        <v>56.31</v>
      </c>
      <c r="H146">
        <v>655388124</v>
      </c>
      <c r="I146" s="5">
        <v>50221.312183908049</v>
      </c>
    </row>
    <row r="147" spans="1:9" x14ac:dyDescent="0.25">
      <c r="A147" t="s">
        <v>8</v>
      </c>
      <c r="B147" s="2" t="s">
        <v>154</v>
      </c>
      <c r="C147" t="s">
        <v>305</v>
      </c>
      <c r="E147" t="s">
        <v>286</v>
      </c>
      <c r="F147" t="s">
        <v>301</v>
      </c>
      <c r="G147">
        <v>54.68</v>
      </c>
      <c r="H147">
        <v>625916531</v>
      </c>
      <c r="I147" s="5">
        <v>47962.952567049811</v>
      </c>
    </row>
    <row r="148" spans="1:9" x14ac:dyDescent="0.25">
      <c r="A148" t="s">
        <v>8</v>
      </c>
      <c r="B148" s="2" t="s">
        <v>155</v>
      </c>
      <c r="C148" t="s">
        <v>305</v>
      </c>
      <c r="E148" t="s">
        <v>286</v>
      </c>
      <c r="F148" t="s">
        <v>301</v>
      </c>
      <c r="G148">
        <v>48.85</v>
      </c>
      <c r="H148">
        <v>578339868</v>
      </c>
      <c r="I148" s="5">
        <v>44317.231264367816</v>
      </c>
    </row>
    <row r="149" spans="1:9" x14ac:dyDescent="0.25">
      <c r="A149" t="s">
        <v>8</v>
      </c>
      <c r="B149" s="2" t="s">
        <v>156</v>
      </c>
      <c r="C149" t="s">
        <v>304</v>
      </c>
      <c r="E149" t="s">
        <v>286</v>
      </c>
      <c r="F149" t="s">
        <v>301</v>
      </c>
      <c r="G149">
        <v>33.340000000000003</v>
      </c>
      <c r="H149">
        <v>379257345</v>
      </c>
      <c r="I149" s="5">
        <v>29061.865517241378</v>
      </c>
    </row>
    <row r="150" spans="1:9" x14ac:dyDescent="0.25">
      <c r="A150" t="s">
        <v>8</v>
      </c>
      <c r="B150" s="2" t="s">
        <v>157</v>
      </c>
      <c r="C150" t="s">
        <v>306</v>
      </c>
      <c r="E150" t="s">
        <v>286</v>
      </c>
      <c r="F150" t="s">
        <v>301</v>
      </c>
      <c r="G150">
        <v>57.77</v>
      </c>
      <c r="H150">
        <v>707308282</v>
      </c>
      <c r="I150" s="5">
        <v>54199.868352490419</v>
      </c>
    </row>
    <row r="151" spans="1:9" x14ac:dyDescent="0.25">
      <c r="A151" t="s">
        <v>8</v>
      </c>
      <c r="B151" s="2" t="s">
        <v>158</v>
      </c>
      <c r="C151" t="s">
        <v>305</v>
      </c>
      <c r="E151" t="s">
        <v>286</v>
      </c>
      <c r="F151" t="s">
        <v>301</v>
      </c>
      <c r="G151">
        <v>44.16</v>
      </c>
      <c r="H151">
        <v>621263130</v>
      </c>
      <c r="I151" s="5">
        <v>47606.370114942525</v>
      </c>
    </row>
    <row r="152" spans="1:9" x14ac:dyDescent="0.25">
      <c r="A152" t="s">
        <v>8</v>
      </c>
      <c r="B152" s="2" t="s">
        <v>159</v>
      </c>
      <c r="C152" t="s">
        <v>305</v>
      </c>
      <c r="E152" t="s">
        <v>286</v>
      </c>
      <c r="F152" t="s">
        <v>301</v>
      </c>
      <c r="G152">
        <v>56.19</v>
      </c>
      <c r="H152">
        <v>654015832</v>
      </c>
      <c r="I152" s="5">
        <v>50116.155708812257</v>
      </c>
    </row>
    <row r="153" spans="1:9" x14ac:dyDescent="0.25">
      <c r="A153" t="s">
        <v>8</v>
      </c>
      <c r="B153" s="2" t="s">
        <v>160</v>
      </c>
      <c r="C153" t="s">
        <v>305</v>
      </c>
      <c r="E153" t="s">
        <v>286</v>
      </c>
      <c r="F153" t="s">
        <v>302</v>
      </c>
      <c r="G153">
        <v>54.68</v>
      </c>
      <c r="H153">
        <v>672063244</v>
      </c>
      <c r="I153" s="5">
        <v>51499.099157088123</v>
      </c>
    </row>
    <row r="154" spans="1:9" x14ac:dyDescent="0.25">
      <c r="A154" t="s">
        <v>8</v>
      </c>
      <c r="B154" s="2" t="s">
        <v>161</v>
      </c>
      <c r="C154" t="s">
        <v>304</v>
      </c>
      <c r="E154" t="s">
        <v>286</v>
      </c>
      <c r="F154" t="s">
        <v>302</v>
      </c>
      <c r="G154">
        <v>33.340000000000003</v>
      </c>
      <c r="H154">
        <v>429340114</v>
      </c>
      <c r="I154" s="5">
        <v>32899.625593869729</v>
      </c>
    </row>
    <row r="155" spans="1:9" x14ac:dyDescent="0.25">
      <c r="A155" t="s">
        <v>8</v>
      </c>
      <c r="B155" s="2" t="s">
        <v>162</v>
      </c>
      <c r="C155" t="s">
        <v>306</v>
      </c>
      <c r="E155" t="s">
        <v>286</v>
      </c>
      <c r="F155" t="s">
        <v>302</v>
      </c>
      <c r="G155">
        <v>57.77</v>
      </c>
      <c r="H155">
        <v>722867005</v>
      </c>
      <c r="I155" s="5">
        <v>55392.107662835246</v>
      </c>
    </row>
    <row r="156" spans="1:9" x14ac:dyDescent="0.25">
      <c r="A156" t="s">
        <v>8</v>
      </c>
      <c r="B156" s="2" t="s">
        <v>163</v>
      </c>
      <c r="C156" t="s">
        <v>305</v>
      </c>
      <c r="E156" t="s">
        <v>286</v>
      </c>
      <c r="F156" t="s">
        <v>302</v>
      </c>
      <c r="G156">
        <v>44.16</v>
      </c>
      <c r="H156">
        <v>538920236</v>
      </c>
      <c r="I156" s="5">
        <v>41296.569808429122</v>
      </c>
    </row>
    <row r="157" spans="1:9" x14ac:dyDescent="0.25">
      <c r="A157" t="s">
        <v>8</v>
      </c>
      <c r="B157" s="2" t="s">
        <v>164</v>
      </c>
      <c r="C157" t="s">
        <v>305</v>
      </c>
      <c r="E157" t="s">
        <v>286</v>
      </c>
      <c r="F157" t="s">
        <v>302</v>
      </c>
      <c r="G157">
        <v>56.19</v>
      </c>
      <c r="H157">
        <v>650313202</v>
      </c>
      <c r="I157" s="5">
        <v>49832.429272030655</v>
      </c>
    </row>
    <row r="158" spans="1:9" x14ac:dyDescent="0.25">
      <c r="A158" t="s">
        <v>8</v>
      </c>
      <c r="B158" s="2" t="s">
        <v>165</v>
      </c>
      <c r="C158" t="s">
        <v>304</v>
      </c>
      <c r="E158" t="s">
        <v>287</v>
      </c>
      <c r="F158" t="s">
        <v>289</v>
      </c>
      <c r="G158">
        <v>33.47</v>
      </c>
      <c r="H158">
        <v>507148258</v>
      </c>
      <c r="I158" s="5">
        <v>38861.935478927204</v>
      </c>
    </row>
    <row r="159" spans="1:9" x14ac:dyDescent="0.25">
      <c r="A159" t="s">
        <v>8</v>
      </c>
      <c r="B159" s="2" t="s">
        <v>166</v>
      </c>
      <c r="C159" t="s">
        <v>305</v>
      </c>
      <c r="E159" t="s">
        <v>287</v>
      </c>
      <c r="F159" t="s">
        <v>289</v>
      </c>
      <c r="G159">
        <v>45.23</v>
      </c>
      <c r="H159">
        <v>662059893</v>
      </c>
      <c r="I159" s="5">
        <v>50732.558850574715</v>
      </c>
    </row>
    <row r="160" spans="1:9" x14ac:dyDescent="0.25">
      <c r="A160" t="s">
        <v>8</v>
      </c>
      <c r="B160" s="2" t="s">
        <v>167</v>
      </c>
      <c r="C160" t="s">
        <v>304</v>
      </c>
      <c r="E160" t="s">
        <v>287</v>
      </c>
      <c r="F160" t="s">
        <v>289</v>
      </c>
      <c r="G160">
        <v>29.23</v>
      </c>
      <c r="H160">
        <v>488546756</v>
      </c>
      <c r="I160" s="5">
        <v>37436.533026819925</v>
      </c>
    </row>
    <row r="161" spans="1:9" x14ac:dyDescent="0.25">
      <c r="A161" t="s">
        <v>8</v>
      </c>
      <c r="B161" s="2" t="s">
        <v>168</v>
      </c>
      <c r="C161" t="s">
        <v>304</v>
      </c>
      <c r="E161" t="s">
        <v>287</v>
      </c>
      <c r="F161" t="s">
        <v>289</v>
      </c>
      <c r="G161">
        <v>33.47</v>
      </c>
      <c r="H161">
        <v>564521899</v>
      </c>
      <c r="I161" s="5">
        <v>43258.383065134098</v>
      </c>
    </row>
    <row r="162" spans="1:9" x14ac:dyDescent="0.25">
      <c r="A162" t="s">
        <v>8</v>
      </c>
      <c r="B162" s="2" t="s">
        <v>169</v>
      </c>
      <c r="C162" t="s">
        <v>304</v>
      </c>
      <c r="E162" t="s">
        <v>287</v>
      </c>
      <c r="F162" t="s">
        <v>290</v>
      </c>
      <c r="G162">
        <v>33.04</v>
      </c>
      <c r="H162">
        <v>496894696</v>
      </c>
      <c r="I162" s="5">
        <v>38076.221915708811</v>
      </c>
    </row>
    <row r="163" spans="1:9" x14ac:dyDescent="0.25">
      <c r="A163" t="s">
        <v>8</v>
      </c>
      <c r="B163" s="2" t="s">
        <v>170</v>
      </c>
      <c r="C163" t="s">
        <v>304</v>
      </c>
      <c r="E163" t="s">
        <v>287</v>
      </c>
      <c r="F163" t="s">
        <v>290</v>
      </c>
      <c r="G163">
        <v>31.47</v>
      </c>
      <c r="H163">
        <v>411905372</v>
      </c>
      <c r="I163" s="5">
        <v>31563.630038314175</v>
      </c>
    </row>
    <row r="164" spans="1:9" x14ac:dyDescent="0.25">
      <c r="A164" t="s">
        <v>8</v>
      </c>
      <c r="B164" s="2" t="s">
        <v>171</v>
      </c>
      <c r="C164" t="s">
        <v>304</v>
      </c>
      <c r="E164" t="s">
        <v>287</v>
      </c>
      <c r="F164" t="s">
        <v>290</v>
      </c>
      <c r="G164">
        <v>28.91</v>
      </c>
      <c r="H164">
        <v>382013419</v>
      </c>
      <c r="I164" s="5">
        <v>29273.058927203067</v>
      </c>
    </row>
    <row r="165" spans="1:9" x14ac:dyDescent="0.25">
      <c r="A165" t="s">
        <v>8</v>
      </c>
      <c r="B165" s="2" t="s">
        <v>172</v>
      </c>
      <c r="C165" t="s">
        <v>305</v>
      </c>
      <c r="E165" t="s">
        <v>287</v>
      </c>
      <c r="F165" t="s">
        <v>290</v>
      </c>
      <c r="G165">
        <v>44.82</v>
      </c>
      <c r="H165">
        <v>658742869</v>
      </c>
      <c r="I165" s="5">
        <v>50478.380766283524</v>
      </c>
    </row>
    <row r="166" spans="1:9" x14ac:dyDescent="0.25">
      <c r="A166" t="s">
        <v>8</v>
      </c>
      <c r="B166" s="2" t="s">
        <v>173</v>
      </c>
      <c r="C166" t="s">
        <v>304</v>
      </c>
      <c r="E166" t="s">
        <v>287</v>
      </c>
      <c r="F166" t="s">
        <v>290</v>
      </c>
      <c r="G166">
        <v>33.04</v>
      </c>
      <c r="H166">
        <v>483253976</v>
      </c>
      <c r="I166" s="5">
        <v>37030.956015325668</v>
      </c>
    </row>
    <row r="167" spans="1:9" x14ac:dyDescent="0.25">
      <c r="A167" t="s">
        <v>8</v>
      </c>
      <c r="B167" s="2" t="s">
        <v>174</v>
      </c>
      <c r="C167" t="s">
        <v>304</v>
      </c>
      <c r="E167" t="s">
        <v>287</v>
      </c>
      <c r="F167" t="s">
        <v>291</v>
      </c>
      <c r="G167">
        <v>33.04</v>
      </c>
      <c r="H167">
        <v>491183262</v>
      </c>
      <c r="I167" s="5">
        <v>37638.564137931033</v>
      </c>
    </row>
    <row r="168" spans="1:9" x14ac:dyDescent="0.25">
      <c r="A168" t="s">
        <v>8</v>
      </c>
      <c r="B168" s="2" t="s">
        <v>175</v>
      </c>
      <c r="C168" t="s">
        <v>304</v>
      </c>
      <c r="E168" t="s">
        <v>287</v>
      </c>
      <c r="F168" t="s">
        <v>291</v>
      </c>
      <c r="G168">
        <v>31.47</v>
      </c>
      <c r="H168">
        <v>503108370</v>
      </c>
      <c r="I168" s="5">
        <v>38552.365517241378</v>
      </c>
    </row>
    <row r="169" spans="1:9" x14ac:dyDescent="0.25">
      <c r="A169" t="s">
        <v>8</v>
      </c>
      <c r="B169" s="2" t="s">
        <v>176</v>
      </c>
      <c r="C169" t="s">
        <v>304</v>
      </c>
      <c r="E169" t="s">
        <v>287</v>
      </c>
      <c r="F169" t="s">
        <v>291</v>
      </c>
      <c r="G169">
        <v>28.91</v>
      </c>
      <c r="H169">
        <v>394626551</v>
      </c>
      <c r="I169" s="5">
        <v>30239.582452107279</v>
      </c>
    </row>
    <row r="170" spans="1:9" x14ac:dyDescent="0.25">
      <c r="A170" t="s">
        <v>8</v>
      </c>
      <c r="B170" s="2" t="s">
        <v>177</v>
      </c>
      <c r="C170" t="s">
        <v>305</v>
      </c>
      <c r="E170" t="s">
        <v>287</v>
      </c>
      <c r="F170" t="s">
        <v>291</v>
      </c>
      <c r="G170">
        <v>40.380000000000003</v>
      </c>
      <c r="H170">
        <v>580463498</v>
      </c>
      <c r="I170" s="5">
        <v>44479.961532567053</v>
      </c>
    </row>
    <row r="171" spans="1:9" x14ac:dyDescent="0.25">
      <c r="A171" t="s">
        <v>8</v>
      </c>
      <c r="B171" s="2" t="s">
        <v>178</v>
      </c>
      <c r="C171" t="s">
        <v>305</v>
      </c>
      <c r="E171" t="s">
        <v>287</v>
      </c>
      <c r="F171" t="s">
        <v>291</v>
      </c>
      <c r="G171">
        <v>48.49</v>
      </c>
      <c r="H171">
        <v>727014649</v>
      </c>
      <c r="I171" s="5">
        <v>55709.934789272033</v>
      </c>
    </row>
    <row r="172" spans="1:9" x14ac:dyDescent="0.25">
      <c r="A172" t="s">
        <v>8</v>
      </c>
      <c r="B172" s="2" t="s">
        <v>179</v>
      </c>
      <c r="C172" t="s">
        <v>304</v>
      </c>
      <c r="E172" t="s">
        <v>287</v>
      </c>
      <c r="F172" t="s">
        <v>291</v>
      </c>
      <c r="G172">
        <v>28.91</v>
      </c>
      <c r="H172">
        <v>394626551</v>
      </c>
      <c r="I172" s="5">
        <v>30239.582452107279</v>
      </c>
    </row>
    <row r="173" spans="1:9" x14ac:dyDescent="0.25">
      <c r="A173" t="s">
        <v>8</v>
      </c>
      <c r="B173" s="2" t="s">
        <v>180</v>
      </c>
      <c r="C173" t="s">
        <v>304</v>
      </c>
      <c r="E173" t="s">
        <v>287</v>
      </c>
      <c r="F173" t="s">
        <v>291</v>
      </c>
      <c r="G173">
        <v>33.04</v>
      </c>
      <c r="H173">
        <v>505730905</v>
      </c>
      <c r="I173" s="5">
        <v>38753.326053639845</v>
      </c>
    </row>
    <row r="174" spans="1:9" x14ac:dyDescent="0.25">
      <c r="A174" t="s">
        <v>8</v>
      </c>
      <c r="B174" s="2" t="s">
        <v>181</v>
      </c>
      <c r="C174" t="s">
        <v>304</v>
      </c>
      <c r="E174" t="s">
        <v>287</v>
      </c>
      <c r="F174" t="s">
        <v>292</v>
      </c>
      <c r="G174">
        <v>33.04</v>
      </c>
      <c r="H174">
        <v>536683066</v>
      </c>
      <c r="I174" s="5">
        <v>41125.139157088124</v>
      </c>
    </row>
    <row r="175" spans="1:9" x14ac:dyDescent="0.25">
      <c r="A175" t="s">
        <v>8</v>
      </c>
      <c r="B175" s="2" t="s">
        <v>182</v>
      </c>
      <c r="C175" t="s">
        <v>304</v>
      </c>
      <c r="E175" t="s">
        <v>287</v>
      </c>
      <c r="F175" t="s">
        <v>292</v>
      </c>
      <c r="G175">
        <v>28.91</v>
      </c>
      <c r="H175">
        <v>420262355</v>
      </c>
      <c r="I175" s="5">
        <v>32204.011877394634</v>
      </c>
    </row>
    <row r="176" spans="1:9" x14ac:dyDescent="0.25">
      <c r="A176" t="s">
        <v>8</v>
      </c>
      <c r="B176" s="2" t="s">
        <v>183</v>
      </c>
      <c r="C176" t="s">
        <v>305</v>
      </c>
      <c r="E176" t="s">
        <v>287</v>
      </c>
      <c r="F176" t="s">
        <v>292</v>
      </c>
      <c r="G176">
        <v>40.380000000000003</v>
      </c>
      <c r="H176">
        <v>589714560</v>
      </c>
      <c r="I176" s="5">
        <v>45188.855172413794</v>
      </c>
    </row>
    <row r="177" spans="1:9" x14ac:dyDescent="0.25">
      <c r="A177" t="s">
        <v>8</v>
      </c>
      <c r="B177" s="2" t="s">
        <v>184</v>
      </c>
      <c r="C177" t="s">
        <v>305</v>
      </c>
      <c r="E177" t="s">
        <v>287</v>
      </c>
      <c r="F177" t="s">
        <v>292</v>
      </c>
      <c r="G177">
        <v>48.49</v>
      </c>
      <c r="H177">
        <v>698799327</v>
      </c>
      <c r="I177" s="5">
        <v>53547.841149425287</v>
      </c>
    </row>
    <row r="178" spans="1:9" x14ac:dyDescent="0.25">
      <c r="A178" t="s">
        <v>8</v>
      </c>
      <c r="B178" s="2" t="s">
        <v>185</v>
      </c>
      <c r="C178" t="s">
        <v>304</v>
      </c>
      <c r="E178" t="s">
        <v>287</v>
      </c>
      <c r="F178" t="s">
        <v>292</v>
      </c>
      <c r="G178">
        <v>28.91</v>
      </c>
      <c r="H178">
        <v>422276812</v>
      </c>
      <c r="I178" s="5">
        <v>32358.376398467433</v>
      </c>
    </row>
    <row r="179" spans="1:9" x14ac:dyDescent="0.25">
      <c r="A179" t="s">
        <v>8</v>
      </c>
      <c r="B179" s="2" t="s">
        <v>186</v>
      </c>
      <c r="C179" t="s">
        <v>304</v>
      </c>
      <c r="E179" t="s">
        <v>287</v>
      </c>
      <c r="F179" t="s">
        <v>292</v>
      </c>
      <c r="G179">
        <v>31.47</v>
      </c>
      <c r="H179">
        <v>442172759</v>
      </c>
      <c r="I179" s="5">
        <v>33882.970038314175</v>
      </c>
    </row>
    <row r="180" spans="1:9" x14ac:dyDescent="0.25">
      <c r="A180" t="s">
        <v>8</v>
      </c>
      <c r="B180" s="2" t="s">
        <v>187</v>
      </c>
      <c r="C180" t="s">
        <v>304</v>
      </c>
      <c r="E180" t="s">
        <v>287</v>
      </c>
      <c r="F180" t="s">
        <v>292</v>
      </c>
      <c r="G180">
        <v>33.04</v>
      </c>
      <c r="H180">
        <v>505206945</v>
      </c>
      <c r="I180" s="5">
        <v>38713.175862068965</v>
      </c>
    </row>
    <row r="181" spans="1:9" x14ac:dyDescent="0.25">
      <c r="A181" t="s">
        <v>8</v>
      </c>
      <c r="B181" s="2" t="s">
        <v>188</v>
      </c>
      <c r="C181" t="s">
        <v>304</v>
      </c>
      <c r="E181" t="s">
        <v>287</v>
      </c>
      <c r="F181" t="s">
        <v>293</v>
      </c>
      <c r="G181">
        <v>33.04</v>
      </c>
      <c r="H181">
        <v>483629443</v>
      </c>
      <c r="I181" s="5">
        <v>37059.727432950189</v>
      </c>
    </row>
    <row r="182" spans="1:9" x14ac:dyDescent="0.25">
      <c r="A182" t="s">
        <v>8</v>
      </c>
      <c r="B182" s="2" t="s">
        <v>189</v>
      </c>
      <c r="C182" t="s">
        <v>304</v>
      </c>
      <c r="E182" t="s">
        <v>287</v>
      </c>
      <c r="F182" t="s">
        <v>293</v>
      </c>
      <c r="G182">
        <v>28.91</v>
      </c>
      <c r="H182">
        <v>470425778</v>
      </c>
      <c r="I182" s="5">
        <v>36047.952337164752</v>
      </c>
    </row>
    <row r="183" spans="1:9" x14ac:dyDescent="0.25">
      <c r="A183" t="s">
        <v>8</v>
      </c>
      <c r="B183" s="2" t="s">
        <v>190</v>
      </c>
      <c r="C183" t="s">
        <v>305</v>
      </c>
      <c r="E183" t="s">
        <v>287</v>
      </c>
      <c r="F183" t="s">
        <v>293</v>
      </c>
      <c r="G183">
        <v>40.380000000000003</v>
      </c>
      <c r="H183">
        <v>653528987</v>
      </c>
      <c r="I183" s="5">
        <v>50078.849578544061</v>
      </c>
    </row>
    <row r="184" spans="1:9" x14ac:dyDescent="0.25">
      <c r="A184" t="s">
        <v>8</v>
      </c>
      <c r="B184" s="2" t="s">
        <v>191</v>
      </c>
      <c r="C184" t="s">
        <v>305</v>
      </c>
      <c r="E184" t="s">
        <v>287</v>
      </c>
      <c r="F184" t="s">
        <v>293</v>
      </c>
      <c r="G184">
        <v>48.49</v>
      </c>
      <c r="H184">
        <v>748055361</v>
      </c>
      <c r="I184" s="5">
        <v>57322.24988505747</v>
      </c>
    </row>
    <row r="185" spans="1:9" x14ac:dyDescent="0.25">
      <c r="A185" t="s">
        <v>8</v>
      </c>
      <c r="B185" s="2" t="s">
        <v>192</v>
      </c>
      <c r="C185" t="s">
        <v>304</v>
      </c>
      <c r="E185" t="s">
        <v>287</v>
      </c>
      <c r="F185" t="s">
        <v>293</v>
      </c>
      <c r="G185">
        <v>28.91</v>
      </c>
      <c r="H185">
        <v>357316322</v>
      </c>
      <c r="I185" s="5">
        <v>27380.561072796936</v>
      </c>
    </row>
    <row r="186" spans="1:9" x14ac:dyDescent="0.25">
      <c r="A186" t="s">
        <v>8</v>
      </c>
      <c r="B186" s="2" t="s">
        <v>193</v>
      </c>
      <c r="C186" t="s">
        <v>304</v>
      </c>
      <c r="E186" t="s">
        <v>287</v>
      </c>
      <c r="F186" t="s">
        <v>293</v>
      </c>
      <c r="G186">
        <v>33.04</v>
      </c>
      <c r="H186">
        <v>441574709</v>
      </c>
      <c r="I186" s="5">
        <v>33837.142452107277</v>
      </c>
    </row>
    <row r="187" spans="1:9" x14ac:dyDescent="0.25">
      <c r="A187" t="s">
        <v>8</v>
      </c>
      <c r="B187" s="2" t="s">
        <v>194</v>
      </c>
      <c r="C187" t="s">
        <v>304</v>
      </c>
      <c r="E187" t="s">
        <v>287</v>
      </c>
      <c r="F187" t="s">
        <v>294</v>
      </c>
      <c r="G187">
        <v>33.04</v>
      </c>
      <c r="H187">
        <v>434677744</v>
      </c>
      <c r="I187" s="5">
        <v>33308.639386973176</v>
      </c>
    </row>
    <row r="188" spans="1:9" x14ac:dyDescent="0.25">
      <c r="A188" t="s">
        <v>8</v>
      </c>
      <c r="B188" s="2" t="s">
        <v>195</v>
      </c>
      <c r="C188" t="s">
        <v>304</v>
      </c>
      <c r="E188" t="s">
        <v>287</v>
      </c>
      <c r="F188" t="s">
        <v>294</v>
      </c>
      <c r="G188">
        <v>28.91</v>
      </c>
      <c r="H188">
        <v>382377860</v>
      </c>
      <c r="I188" s="5">
        <v>29300.985440613025</v>
      </c>
    </row>
    <row r="189" spans="1:9" x14ac:dyDescent="0.25">
      <c r="A189" t="s">
        <v>8</v>
      </c>
      <c r="B189" s="2" t="s">
        <v>196</v>
      </c>
      <c r="C189" t="s">
        <v>305</v>
      </c>
      <c r="E189" t="s">
        <v>287</v>
      </c>
      <c r="F189" t="s">
        <v>294</v>
      </c>
      <c r="G189">
        <v>40.380000000000003</v>
      </c>
      <c r="H189">
        <v>591673818</v>
      </c>
      <c r="I189" s="5">
        <v>45338.989885057468</v>
      </c>
    </row>
    <row r="190" spans="1:9" x14ac:dyDescent="0.25">
      <c r="A190" t="s">
        <v>8</v>
      </c>
      <c r="B190" s="2" t="s">
        <v>197</v>
      </c>
      <c r="C190" t="s">
        <v>305</v>
      </c>
      <c r="E190" t="s">
        <v>287</v>
      </c>
      <c r="F190" t="s">
        <v>294</v>
      </c>
      <c r="G190">
        <v>48.49</v>
      </c>
      <c r="H190">
        <v>702879224</v>
      </c>
      <c r="I190" s="5">
        <v>53860.476934865903</v>
      </c>
    </row>
    <row r="191" spans="1:9" x14ac:dyDescent="0.25">
      <c r="A191" t="s">
        <v>8</v>
      </c>
      <c r="B191" s="2" t="s">
        <v>198</v>
      </c>
      <c r="C191" t="s">
        <v>304</v>
      </c>
      <c r="E191" t="s">
        <v>287</v>
      </c>
      <c r="F191" t="s">
        <v>294</v>
      </c>
      <c r="G191">
        <v>28.91</v>
      </c>
      <c r="H191">
        <v>442495762</v>
      </c>
      <c r="I191" s="5">
        <v>33907.72122605364</v>
      </c>
    </row>
    <row r="192" spans="1:9" x14ac:dyDescent="0.25">
      <c r="A192" t="s">
        <v>8</v>
      </c>
      <c r="B192" s="2" t="s">
        <v>199</v>
      </c>
      <c r="C192" t="s">
        <v>304</v>
      </c>
      <c r="E192" t="s">
        <v>287</v>
      </c>
      <c r="F192" t="s">
        <v>294</v>
      </c>
      <c r="G192">
        <v>33.04</v>
      </c>
      <c r="H192">
        <v>452051030</v>
      </c>
      <c r="I192" s="5">
        <v>34639.925670498087</v>
      </c>
    </row>
    <row r="193" spans="1:9" x14ac:dyDescent="0.25">
      <c r="A193" t="s">
        <v>8</v>
      </c>
      <c r="B193" s="2" t="s">
        <v>200</v>
      </c>
      <c r="C193" t="s">
        <v>304</v>
      </c>
      <c r="E193" t="s">
        <v>287</v>
      </c>
      <c r="F193" t="s">
        <v>295</v>
      </c>
      <c r="G193">
        <v>33.04</v>
      </c>
      <c r="H193">
        <v>505243450</v>
      </c>
      <c r="I193" s="5">
        <v>38715.973180076631</v>
      </c>
    </row>
    <row r="194" spans="1:9" x14ac:dyDescent="0.25">
      <c r="A194" t="s">
        <v>8</v>
      </c>
      <c r="B194" s="2" t="s">
        <v>201</v>
      </c>
      <c r="C194" t="s">
        <v>304</v>
      </c>
      <c r="E194" t="s">
        <v>287</v>
      </c>
      <c r="F194" t="s">
        <v>295</v>
      </c>
      <c r="G194">
        <v>28.91</v>
      </c>
      <c r="H194">
        <v>461448501</v>
      </c>
      <c r="I194" s="5">
        <v>35360.038390804599</v>
      </c>
    </row>
    <row r="195" spans="1:9" x14ac:dyDescent="0.25">
      <c r="A195" t="s">
        <v>8</v>
      </c>
      <c r="B195" s="2" t="s">
        <v>202</v>
      </c>
      <c r="C195" t="s">
        <v>305</v>
      </c>
      <c r="E195" t="s">
        <v>287</v>
      </c>
      <c r="F195" t="s">
        <v>295</v>
      </c>
      <c r="G195">
        <v>40.380000000000003</v>
      </c>
      <c r="H195">
        <v>554682525</v>
      </c>
      <c r="I195" s="5">
        <v>42504.408045977012</v>
      </c>
    </row>
    <row r="196" spans="1:9" x14ac:dyDescent="0.25">
      <c r="A196" t="s">
        <v>8</v>
      </c>
      <c r="B196" s="2" t="s">
        <v>203</v>
      </c>
      <c r="C196" t="s">
        <v>305</v>
      </c>
      <c r="E196" t="s">
        <v>287</v>
      </c>
      <c r="F196" t="s">
        <v>295</v>
      </c>
      <c r="G196">
        <v>48.49</v>
      </c>
      <c r="H196">
        <v>587401483</v>
      </c>
      <c r="I196" s="5">
        <v>45011.607892720305</v>
      </c>
    </row>
    <row r="197" spans="1:9" x14ac:dyDescent="0.25">
      <c r="A197" t="s">
        <v>8</v>
      </c>
      <c r="B197" s="2" t="s">
        <v>204</v>
      </c>
      <c r="C197" t="s">
        <v>304</v>
      </c>
      <c r="E197" t="s">
        <v>287</v>
      </c>
      <c r="F197" t="s">
        <v>295</v>
      </c>
      <c r="G197">
        <v>28.91</v>
      </c>
      <c r="H197">
        <v>369125825</v>
      </c>
      <c r="I197" s="5">
        <v>28285.503831417624</v>
      </c>
    </row>
    <row r="198" spans="1:9" x14ac:dyDescent="0.25">
      <c r="A198" t="s">
        <v>8</v>
      </c>
      <c r="B198" s="2" t="s">
        <v>205</v>
      </c>
      <c r="C198" t="s">
        <v>304</v>
      </c>
      <c r="E198" t="s">
        <v>287</v>
      </c>
      <c r="F198" t="s">
        <v>295</v>
      </c>
      <c r="G198">
        <v>33.04</v>
      </c>
      <c r="H198">
        <v>517407805</v>
      </c>
      <c r="I198" s="5">
        <v>39648.107662835246</v>
      </c>
    </row>
    <row r="199" spans="1:9" x14ac:dyDescent="0.25">
      <c r="A199" t="s">
        <v>8</v>
      </c>
      <c r="B199" s="2" t="s">
        <v>206</v>
      </c>
      <c r="C199" t="s">
        <v>304</v>
      </c>
      <c r="E199" t="s">
        <v>287</v>
      </c>
      <c r="F199" t="s">
        <v>296</v>
      </c>
      <c r="G199">
        <v>33.11</v>
      </c>
      <c r="H199">
        <v>499534310</v>
      </c>
      <c r="I199" s="5">
        <v>38278.491187739462</v>
      </c>
    </row>
    <row r="200" spans="1:9" x14ac:dyDescent="0.25">
      <c r="A200" t="s">
        <v>8</v>
      </c>
      <c r="B200" s="2" t="s">
        <v>207</v>
      </c>
      <c r="C200" t="s">
        <v>304</v>
      </c>
      <c r="E200" t="s">
        <v>287</v>
      </c>
      <c r="F200" t="s">
        <v>296</v>
      </c>
      <c r="G200">
        <v>29.04</v>
      </c>
      <c r="H200">
        <v>411034028</v>
      </c>
      <c r="I200" s="5">
        <v>31496.860383141764</v>
      </c>
    </row>
    <row r="201" spans="1:9" x14ac:dyDescent="0.25">
      <c r="A201" t="s">
        <v>8</v>
      </c>
      <c r="B201" s="2" t="s">
        <v>208</v>
      </c>
      <c r="C201" t="s">
        <v>305</v>
      </c>
      <c r="E201" t="s">
        <v>287</v>
      </c>
      <c r="F201" t="s">
        <v>296</v>
      </c>
      <c r="G201">
        <v>40.44</v>
      </c>
      <c r="H201">
        <v>512179045</v>
      </c>
      <c r="I201" s="5">
        <v>39247.436398467435</v>
      </c>
    </row>
    <row r="202" spans="1:9" x14ac:dyDescent="0.25">
      <c r="A202" t="s">
        <v>8</v>
      </c>
      <c r="B202" s="2" t="s">
        <v>209</v>
      </c>
      <c r="C202" t="s">
        <v>305</v>
      </c>
      <c r="E202" t="s">
        <v>287</v>
      </c>
      <c r="F202" t="s">
        <v>296</v>
      </c>
      <c r="G202">
        <v>48.55</v>
      </c>
      <c r="H202">
        <v>687563889</v>
      </c>
      <c r="I202" s="5">
        <v>52686.888045977008</v>
      </c>
    </row>
    <row r="203" spans="1:9" x14ac:dyDescent="0.25">
      <c r="A203" t="s">
        <v>8</v>
      </c>
      <c r="B203" s="2" t="s">
        <v>210</v>
      </c>
      <c r="C203" t="s">
        <v>304</v>
      </c>
      <c r="E203" t="s">
        <v>287</v>
      </c>
      <c r="F203" t="s">
        <v>296</v>
      </c>
      <c r="G203">
        <v>29.04</v>
      </c>
      <c r="H203">
        <v>408842549</v>
      </c>
      <c r="I203" s="5">
        <v>31328.930957854405</v>
      </c>
    </row>
    <row r="204" spans="1:9" x14ac:dyDescent="0.25">
      <c r="A204" t="s">
        <v>8</v>
      </c>
      <c r="B204" s="2" t="s">
        <v>211</v>
      </c>
      <c r="C204" t="s">
        <v>304</v>
      </c>
      <c r="E204" t="s">
        <v>287</v>
      </c>
      <c r="F204" t="s">
        <v>296</v>
      </c>
      <c r="G204">
        <v>33.11</v>
      </c>
      <c r="H204">
        <v>491108690</v>
      </c>
      <c r="I204" s="5">
        <v>37632.84980842912</v>
      </c>
    </row>
    <row r="205" spans="1:9" x14ac:dyDescent="0.25">
      <c r="A205" t="s">
        <v>8</v>
      </c>
      <c r="B205" s="2" t="s">
        <v>212</v>
      </c>
      <c r="C205" t="s">
        <v>304</v>
      </c>
      <c r="E205" t="s">
        <v>287</v>
      </c>
      <c r="F205" t="s">
        <v>297</v>
      </c>
      <c r="G205">
        <v>29.04</v>
      </c>
      <c r="H205">
        <v>374213078</v>
      </c>
      <c r="I205" s="5">
        <v>28675.331647509578</v>
      </c>
    </row>
    <row r="206" spans="1:9" x14ac:dyDescent="0.25">
      <c r="A206" t="s">
        <v>8</v>
      </c>
      <c r="B206" s="2" t="s">
        <v>213</v>
      </c>
      <c r="C206" t="s">
        <v>305</v>
      </c>
      <c r="E206" t="s">
        <v>287</v>
      </c>
      <c r="F206" t="s">
        <v>297</v>
      </c>
      <c r="G206">
        <v>40.44</v>
      </c>
      <c r="H206">
        <v>478539349</v>
      </c>
      <c r="I206" s="5">
        <v>36669.68191570881</v>
      </c>
    </row>
    <row r="207" spans="1:9" x14ac:dyDescent="0.25">
      <c r="A207" t="s">
        <v>8</v>
      </c>
      <c r="B207" s="2" t="s">
        <v>214</v>
      </c>
      <c r="C207" t="s">
        <v>304</v>
      </c>
      <c r="E207" t="s">
        <v>287</v>
      </c>
      <c r="F207" t="s">
        <v>297</v>
      </c>
      <c r="G207">
        <v>29.04</v>
      </c>
      <c r="H207">
        <v>461136363</v>
      </c>
      <c r="I207" s="5">
        <v>35336.119770114943</v>
      </c>
    </row>
    <row r="208" spans="1:9" x14ac:dyDescent="0.25">
      <c r="A208" t="s">
        <v>8</v>
      </c>
      <c r="B208" s="2" t="s">
        <v>215</v>
      </c>
      <c r="C208" t="s">
        <v>304</v>
      </c>
      <c r="E208" t="s">
        <v>287</v>
      </c>
      <c r="F208" t="s">
        <v>297</v>
      </c>
      <c r="G208">
        <v>33.11</v>
      </c>
      <c r="H208">
        <v>467188666</v>
      </c>
      <c r="I208" s="5">
        <v>35799.897777777776</v>
      </c>
    </row>
    <row r="209" spans="1:9" x14ac:dyDescent="0.25">
      <c r="A209" t="s">
        <v>8</v>
      </c>
      <c r="B209" s="2" t="s">
        <v>216</v>
      </c>
      <c r="C209" t="s">
        <v>304</v>
      </c>
      <c r="E209" t="s">
        <v>287</v>
      </c>
      <c r="F209" t="s">
        <v>298</v>
      </c>
      <c r="G209">
        <v>33.11</v>
      </c>
      <c r="H209">
        <v>479088416</v>
      </c>
      <c r="I209" s="5">
        <v>36711.756015325671</v>
      </c>
    </row>
    <row r="210" spans="1:9" x14ac:dyDescent="0.25">
      <c r="A210" t="s">
        <v>8</v>
      </c>
      <c r="B210" s="2" t="s">
        <v>217</v>
      </c>
      <c r="C210" t="s">
        <v>304</v>
      </c>
      <c r="E210" t="s">
        <v>287</v>
      </c>
      <c r="F210" t="s">
        <v>298</v>
      </c>
      <c r="G210">
        <v>29.04</v>
      </c>
      <c r="H210">
        <v>385131905</v>
      </c>
      <c r="I210" s="5">
        <v>29512.023371647509</v>
      </c>
    </row>
    <row r="211" spans="1:9" x14ac:dyDescent="0.25">
      <c r="A211" t="s">
        <v>8</v>
      </c>
      <c r="B211" s="2" t="s">
        <v>218</v>
      </c>
      <c r="C211" t="s">
        <v>305</v>
      </c>
      <c r="E211" t="s">
        <v>287</v>
      </c>
      <c r="F211" t="s">
        <v>298</v>
      </c>
      <c r="G211">
        <v>40.44</v>
      </c>
      <c r="H211">
        <v>564285604</v>
      </c>
      <c r="I211" s="5">
        <v>43240.276168582379</v>
      </c>
    </row>
    <row r="212" spans="1:9" x14ac:dyDescent="0.25">
      <c r="A212" t="s">
        <v>8</v>
      </c>
      <c r="B212" s="2" t="s">
        <v>219</v>
      </c>
      <c r="C212" t="s">
        <v>305</v>
      </c>
      <c r="E212" t="s">
        <v>287</v>
      </c>
      <c r="F212" t="s">
        <v>298</v>
      </c>
      <c r="G212">
        <v>48.55</v>
      </c>
      <c r="H212">
        <v>676786903</v>
      </c>
      <c r="I212" s="5">
        <v>51861.065363984671</v>
      </c>
    </row>
    <row r="213" spans="1:9" x14ac:dyDescent="0.25">
      <c r="A213" t="s">
        <v>8</v>
      </c>
      <c r="B213" s="2" t="s">
        <v>220</v>
      </c>
      <c r="C213" t="s">
        <v>304</v>
      </c>
      <c r="E213" t="s">
        <v>287</v>
      </c>
      <c r="F213" t="s">
        <v>298</v>
      </c>
      <c r="G213">
        <v>29.04</v>
      </c>
      <c r="H213">
        <v>429682622</v>
      </c>
      <c r="I213" s="5">
        <v>32925.871417624519</v>
      </c>
    </row>
    <row r="214" spans="1:9" x14ac:dyDescent="0.25">
      <c r="A214" t="s">
        <v>8</v>
      </c>
      <c r="B214" s="2" t="s">
        <v>221</v>
      </c>
      <c r="C214" t="s">
        <v>304</v>
      </c>
      <c r="E214" t="s">
        <v>287</v>
      </c>
      <c r="F214" t="s">
        <v>298</v>
      </c>
      <c r="G214">
        <v>33.11</v>
      </c>
      <c r="H214">
        <v>443411619</v>
      </c>
      <c r="I214" s="5">
        <v>33977.901839080463</v>
      </c>
    </row>
    <row r="215" spans="1:9" x14ac:dyDescent="0.25">
      <c r="A215" t="s">
        <v>8</v>
      </c>
      <c r="B215" s="2" t="s">
        <v>222</v>
      </c>
      <c r="C215" t="s">
        <v>304</v>
      </c>
      <c r="E215" t="s">
        <v>287</v>
      </c>
      <c r="F215" t="s">
        <v>299</v>
      </c>
      <c r="G215">
        <v>33.11</v>
      </c>
      <c r="H215">
        <v>486195750</v>
      </c>
      <c r="I215" s="5">
        <v>37256.379310344826</v>
      </c>
    </row>
    <row r="216" spans="1:9" x14ac:dyDescent="0.25">
      <c r="A216" t="s">
        <v>8</v>
      </c>
      <c r="B216" s="2" t="s">
        <v>223</v>
      </c>
      <c r="C216" t="s">
        <v>304</v>
      </c>
      <c r="E216" t="s">
        <v>287</v>
      </c>
      <c r="F216" t="s">
        <v>299</v>
      </c>
      <c r="G216">
        <v>29.04</v>
      </c>
      <c r="H216">
        <v>376219649</v>
      </c>
      <c r="I216" s="5">
        <v>28829.091877394636</v>
      </c>
    </row>
    <row r="217" spans="1:9" x14ac:dyDescent="0.25">
      <c r="A217" t="s">
        <v>8</v>
      </c>
      <c r="B217" s="2" t="s">
        <v>224</v>
      </c>
      <c r="C217" t="s">
        <v>305</v>
      </c>
      <c r="E217" t="s">
        <v>287</v>
      </c>
      <c r="F217" t="s">
        <v>299</v>
      </c>
      <c r="G217">
        <v>40.44</v>
      </c>
      <c r="H217">
        <v>567491980</v>
      </c>
      <c r="I217" s="5">
        <v>43485.975478927205</v>
      </c>
    </row>
    <row r="218" spans="1:9" x14ac:dyDescent="0.25">
      <c r="A218" t="s">
        <v>8</v>
      </c>
      <c r="B218" s="2" t="s">
        <v>225</v>
      </c>
      <c r="C218" t="s">
        <v>305</v>
      </c>
      <c r="E218" t="s">
        <v>287</v>
      </c>
      <c r="F218" t="s">
        <v>299</v>
      </c>
      <c r="G218">
        <v>48.55</v>
      </c>
      <c r="H218">
        <v>659180660</v>
      </c>
      <c r="I218" s="5">
        <v>50511.927969348661</v>
      </c>
    </row>
    <row r="219" spans="1:9" x14ac:dyDescent="0.25">
      <c r="A219" t="s">
        <v>8</v>
      </c>
      <c r="B219" s="2" t="s">
        <v>226</v>
      </c>
      <c r="C219" t="s">
        <v>304</v>
      </c>
      <c r="E219" t="s">
        <v>287</v>
      </c>
      <c r="F219" t="s">
        <v>299</v>
      </c>
      <c r="G219">
        <v>29.04</v>
      </c>
      <c r="H219">
        <v>374332485</v>
      </c>
      <c r="I219" s="5">
        <v>28684.481609195402</v>
      </c>
    </row>
    <row r="220" spans="1:9" x14ac:dyDescent="0.25">
      <c r="A220" t="s">
        <v>8</v>
      </c>
      <c r="B220" s="2" t="s">
        <v>227</v>
      </c>
      <c r="C220" t="s">
        <v>304</v>
      </c>
      <c r="E220" t="s">
        <v>287</v>
      </c>
      <c r="F220" t="s">
        <v>300</v>
      </c>
      <c r="G220">
        <v>29.04</v>
      </c>
      <c r="H220">
        <v>399969479</v>
      </c>
      <c r="I220" s="5">
        <v>30649.002222222221</v>
      </c>
    </row>
    <row r="221" spans="1:9" x14ac:dyDescent="0.25">
      <c r="A221" t="s">
        <v>8</v>
      </c>
      <c r="B221" s="2" t="s">
        <v>228</v>
      </c>
      <c r="C221" t="s">
        <v>305</v>
      </c>
      <c r="E221" t="s">
        <v>287</v>
      </c>
      <c r="F221" t="s">
        <v>300</v>
      </c>
      <c r="G221">
        <v>40.44</v>
      </c>
      <c r="H221">
        <v>516948606</v>
      </c>
      <c r="I221" s="5">
        <v>39612.92</v>
      </c>
    </row>
    <row r="222" spans="1:9" x14ac:dyDescent="0.25">
      <c r="A222" t="s">
        <v>8</v>
      </c>
      <c r="B222" s="2" t="s">
        <v>229</v>
      </c>
      <c r="C222" t="s">
        <v>305</v>
      </c>
      <c r="E222" t="s">
        <v>287</v>
      </c>
      <c r="F222" t="s">
        <v>300</v>
      </c>
      <c r="G222">
        <v>48.55</v>
      </c>
      <c r="H222">
        <v>647704608</v>
      </c>
      <c r="I222" s="5">
        <v>49632.537011494256</v>
      </c>
    </row>
    <row r="223" spans="1:9" x14ac:dyDescent="0.25">
      <c r="A223" t="s">
        <v>8</v>
      </c>
      <c r="B223" s="2" t="s">
        <v>230</v>
      </c>
      <c r="C223" t="s">
        <v>304</v>
      </c>
      <c r="E223" t="s">
        <v>287</v>
      </c>
      <c r="F223" t="s">
        <v>300</v>
      </c>
      <c r="G223">
        <v>29.04</v>
      </c>
      <c r="H223">
        <v>404692983</v>
      </c>
      <c r="I223" s="5">
        <v>31010.956551724139</v>
      </c>
    </row>
    <row r="224" spans="1:9" x14ac:dyDescent="0.25">
      <c r="A224" t="s">
        <v>8</v>
      </c>
      <c r="B224" s="2" t="s">
        <v>231</v>
      </c>
      <c r="C224" t="s">
        <v>304</v>
      </c>
      <c r="E224" t="s">
        <v>287</v>
      </c>
      <c r="F224" t="s">
        <v>301</v>
      </c>
      <c r="G224">
        <v>33.11</v>
      </c>
      <c r="H224">
        <v>509819357</v>
      </c>
      <c r="I224" s="5">
        <v>39066.617394636014</v>
      </c>
    </row>
    <row r="225" spans="1:9" x14ac:dyDescent="0.25">
      <c r="A225" t="s">
        <v>8</v>
      </c>
      <c r="B225" s="2" t="s">
        <v>232</v>
      </c>
      <c r="C225" t="s">
        <v>304</v>
      </c>
      <c r="E225" t="s">
        <v>287</v>
      </c>
      <c r="F225" t="s">
        <v>301</v>
      </c>
      <c r="G225">
        <v>29.04</v>
      </c>
      <c r="H225">
        <v>399969479</v>
      </c>
      <c r="I225" s="5">
        <v>30649.002222222221</v>
      </c>
    </row>
    <row r="226" spans="1:9" x14ac:dyDescent="0.25">
      <c r="A226" t="s">
        <v>8</v>
      </c>
      <c r="B226" s="2" t="s">
        <v>233</v>
      </c>
      <c r="C226" t="s">
        <v>305</v>
      </c>
      <c r="E226" t="s">
        <v>287</v>
      </c>
      <c r="F226" t="s">
        <v>301</v>
      </c>
      <c r="G226">
        <v>40.44</v>
      </c>
      <c r="H226">
        <v>508493433</v>
      </c>
      <c r="I226" s="5">
        <v>38965.014022988507</v>
      </c>
    </row>
    <row r="227" spans="1:9" x14ac:dyDescent="0.25">
      <c r="A227" t="s">
        <v>8</v>
      </c>
      <c r="B227" s="2" t="s">
        <v>234</v>
      </c>
      <c r="C227" t="s">
        <v>304</v>
      </c>
      <c r="E227" t="s">
        <v>287</v>
      </c>
      <c r="F227" t="s">
        <v>301</v>
      </c>
      <c r="G227">
        <v>29.04</v>
      </c>
      <c r="H227">
        <v>359450254</v>
      </c>
      <c r="I227" s="5">
        <v>27544.080766283525</v>
      </c>
    </row>
    <row r="228" spans="1:9" x14ac:dyDescent="0.25">
      <c r="A228" t="s">
        <v>8</v>
      </c>
      <c r="B228" s="2" t="s">
        <v>235</v>
      </c>
      <c r="C228" t="s">
        <v>304</v>
      </c>
      <c r="E228" t="s">
        <v>287</v>
      </c>
      <c r="F228" t="s">
        <v>301</v>
      </c>
      <c r="G228">
        <v>33.11</v>
      </c>
      <c r="H228">
        <v>432711184</v>
      </c>
      <c r="I228" s="5">
        <v>33157.945134099617</v>
      </c>
    </row>
    <row r="229" spans="1:9" x14ac:dyDescent="0.25">
      <c r="A229" t="s">
        <v>8</v>
      </c>
      <c r="B229" s="2" t="s">
        <v>236</v>
      </c>
      <c r="C229" t="s">
        <v>304</v>
      </c>
      <c r="E229" t="s">
        <v>287</v>
      </c>
      <c r="F229" t="s">
        <v>302</v>
      </c>
      <c r="G229">
        <v>33</v>
      </c>
      <c r="H229">
        <v>387372284</v>
      </c>
      <c r="I229" s="5">
        <v>29683.699923371649</v>
      </c>
    </row>
    <row r="230" spans="1:9" x14ac:dyDescent="0.25">
      <c r="A230" t="s">
        <v>8</v>
      </c>
      <c r="B230" s="2" t="s">
        <v>237</v>
      </c>
      <c r="C230" t="s">
        <v>304</v>
      </c>
      <c r="E230" t="s">
        <v>287</v>
      </c>
      <c r="F230" t="s">
        <v>302</v>
      </c>
      <c r="G230">
        <v>28.99</v>
      </c>
      <c r="H230">
        <v>376664312</v>
      </c>
      <c r="I230" s="5">
        <v>28863.165670498085</v>
      </c>
    </row>
    <row r="231" spans="1:9" x14ac:dyDescent="0.25">
      <c r="A231" t="s">
        <v>8</v>
      </c>
      <c r="B231" s="2" t="s">
        <v>238</v>
      </c>
      <c r="C231" t="s">
        <v>305</v>
      </c>
      <c r="E231" t="s">
        <v>287</v>
      </c>
      <c r="F231" t="s">
        <v>302</v>
      </c>
      <c r="G231">
        <v>40.33</v>
      </c>
      <c r="H231">
        <v>495905046</v>
      </c>
      <c r="I231" s="5">
        <v>38000.386666666665</v>
      </c>
    </row>
    <row r="232" spans="1:9" x14ac:dyDescent="0.25">
      <c r="A232" t="s">
        <v>8</v>
      </c>
      <c r="B232" s="2" t="s">
        <v>239</v>
      </c>
      <c r="C232" t="s">
        <v>305</v>
      </c>
      <c r="E232" t="s">
        <v>287</v>
      </c>
      <c r="F232" t="s">
        <v>302</v>
      </c>
      <c r="G232">
        <v>48.44</v>
      </c>
      <c r="H232">
        <v>581223182</v>
      </c>
      <c r="I232" s="5">
        <v>44538.174865900386</v>
      </c>
    </row>
    <row r="233" spans="1:9" x14ac:dyDescent="0.25">
      <c r="A233" t="s">
        <v>8</v>
      </c>
      <c r="B233" s="2" t="s">
        <v>240</v>
      </c>
      <c r="C233" t="s">
        <v>304</v>
      </c>
      <c r="E233" t="s">
        <v>287</v>
      </c>
      <c r="F233" t="s">
        <v>302</v>
      </c>
      <c r="G233">
        <v>28.99</v>
      </c>
      <c r="H233">
        <v>368564004</v>
      </c>
      <c r="I233" s="5">
        <v>28242.452413793104</v>
      </c>
    </row>
    <row r="234" spans="1:9" x14ac:dyDescent="0.25">
      <c r="A234" t="s">
        <v>8</v>
      </c>
      <c r="B234" s="2" t="s">
        <v>241</v>
      </c>
      <c r="C234" t="s">
        <v>304</v>
      </c>
      <c r="E234" t="s">
        <v>287</v>
      </c>
      <c r="F234" t="s">
        <v>302</v>
      </c>
      <c r="G234">
        <v>33</v>
      </c>
      <c r="H234">
        <v>437077682</v>
      </c>
      <c r="I234" s="5">
        <v>33492.542681992338</v>
      </c>
    </row>
    <row r="235" spans="1:9" x14ac:dyDescent="0.25">
      <c r="A235" t="s">
        <v>8</v>
      </c>
      <c r="B235" s="2" t="s">
        <v>242</v>
      </c>
      <c r="C235" t="s">
        <v>304</v>
      </c>
      <c r="E235" t="s">
        <v>287</v>
      </c>
      <c r="F235" t="s">
        <v>303</v>
      </c>
      <c r="G235">
        <v>28.99</v>
      </c>
      <c r="H235">
        <v>331070186</v>
      </c>
      <c r="I235" s="5">
        <v>25369.362911877393</v>
      </c>
    </row>
    <row r="236" spans="1:9" x14ac:dyDescent="0.25">
      <c r="A236" t="s">
        <v>8</v>
      </c>
      <c r="B236" s="2" t="s">
        <v>243</v>
      </c>
      <c r="C236" t="s">
        <v>305</v>
      </c>
      <c r="E236" t="s">
        <v>287</v>
      </c>
      <c r="F236" t="s">
        <v>303</v>
      </c>
      <c r="G236">
        <v>40.33</v>
      </c>
      <c r="H236">
        <v>470752746</v>
      </c>
      <c r="I236" s="5">
        <v>36073.007356321839</v>
      </c>
    </row>
    <row r="237" spans="1:9" x14ac:dyDescent="0.25">
      <c r="A237" t="s">
        <v>8</v>
      </c>
      <c r="B237" s="2" t="s">
        <v>244</v>
      </c>
      <c r="C237" t="s">
        <v>305</v>
      </c>
      <c r="E237" t="s">
        <v>287</v>
      </c>
      <c r="F237" t="s">
        <v>303</v>
      </c>
      <c r="G237">
        <v>48.44</v>
      </c>
      <c r="H237">
        <v>546079660</v>
      </c>
      <c r="I237" s="5">
        <v>41845.184674329503</v>
      </c>
    </row>
    <row r="238" spans="1:9" x14ac:dyDescent="0.25">
      <c r="A238" t="s">
        <v>8</v>
      </c>
      <c r="B238" s="2" t="s">
        <v>245</v>
      </c>
      <c r="C238" t="s">
        <v>304</v>
      </c>
      <c r="E238" t="s">
        <v>287</v>
      </c>
      <c r="F238" t="s">
        <v>303</v>
      </c>
      <c r="G238">
        <v>28.99</v>
      </c>
      <c r="H238">
        <v>352160297</v>
      </c>
      <c r="I238" s="5">
        <v>26985.463371647511</v>
      </c>
    </row>
    <row r="239" spans="1:9" x14ac:dyDescent="0.25">
      <c r="A239" t="s">
        <v>247</v>
      </c>
      <c r="B239" s="2" t="s">
        <v>248</v>
      </c>
      <c r="C239" t="s">
        <v>304</v>
      </c>
      <c r="E239" t="s">
        <v>285</v>
      </c>
      <c r="F239" t="s">
        <v>289</v>
      </c>
      <c r="G239">
        <v>33.47</v>
      </c>
      <c r="H239">
        <v>564942601</v>
      </c>
      <c r="I239" s="5">
        <v>43290.620766283522</v>
      </c>
    </row>
    <row r="240" spans="1:9" x14ac:dyDescent="0.25">
      <c r="A240" t="s">
        <v>247</v>
      </c>
      <c r="B240" s="2" t="s">
        <v>249</v>
      </c>
      <c r="C240" t="s">
        <v>305</v>
      </c>
      <c r="E240" t="s">
        <v>285</v>
      </c>
      <c r="F240" t="s">
        <v>289</v>
      </c>
      <c r="G240">
        <v>45.23</v>
      </c>
      <c r="H240">
        <v>680187589</v>
      </c>
      <c r="I240" s="5">
        <v>52121.654329501915</v>
      </c>
    </row>
    <row r="241" spans="1:9" x14ac:dyDescent="0.25">
      <c r="A241" t="s">
        <v>247</v>
      </c>
      <c r="B241" s="2" t="s">
        <v>250</v>
      </c>
      <c r="C241" t="s">
        <v>304</v>
      </c>
      <c r="E241" t="s">
        <v>285</v>
      </c>
      <c r="F241" t="s">
        <v>289</v>
      </c>
      <c r="G241">
        <v>31.77</v>
      </c>
      <c r="H241">
        <v>518563395</v>
      </c>
      <c r="I241" s="5">
        <v>39736.658620689654</v>
      </c>
    </row>
    <row r="242" spans="1:9" x14ac:dyDescent="0.25">
      <c r="A242" t="s">
        <v>247</v>
      </c>
      <c r="B242" s="2" t="s">
        <v>10</v>
      </c>
      <c r="C242" t="s">
        <v>304</v>
      </c>
      <c r="E242" t="s">
        <v>285</v>
      </c>
      <c r="F242" t="s">
        <v>290</v>
      </c>
      <c r="G242">
        <v>33.04</v>
      </c>
      <c r="H242">
        <v>522588602</v>
      </c>
      <c r="I242" s="5">
        <v>40045.103601532566</v>
      </c>
    </row>
    <row r="243" spans="1:9" x14ac:dyDescent="0.25">
      <c r="A243" t="s">
        <v>247</v>
      </c>
      <c r="B243" s="2" t="s">
        <v>251</v>
      </c>
      <c r="C243" t="s">
        <v>304</v>
      </c>
      <c r="E243" t="s">
        <v>285</v>
      </c>
      <c r="F243" t="s">
        <v>290</v>
      </c>
      <c r="G243">
        <v>31.47</v>
      </c>
      <c r="H243">
        <v>493243500</v>
      </c>
      <c r="I243" s="5">
        <v>37796.436781609198</v>
      </c>
    </row>
    <row r="244" spans="1:9" x14ac:dyDescent="0.25">
      <c r="A244" t="s">
        <v>247</v>
      </c>
      <c r="B244" s="2" t="s">
        <v>11</v>
      </c>
      <c r="C244" t="s">
        <v>304</v>
      </c>
      <c r="E244" t="s">
        <v>285</v>
      </c>
      <c r="F244" t="s">
        <v>290</v>
      </c>
      <c r="G244">
        <v>28.91</v>
      </c>
      <c r="H244">
        <v>421403835</v>
      </c>
      <c r="I244" s="5">
        <v>32291.481609195402</v>
      </c>
    </row>
    <row r="245" spans="1:9" x14ac:dyDescent="0.25">
      <c r="A245" t="s">
        <v>247</v>
      </c>
      <c r="B245" s="2" t="s">
        <v>12</v>
      </c>
      <c r="C245" t="s">
        <v>305</v>
      </c>
      <c r="E245" t="s">
        <v>285</v>
      </c>
      <c r="F245" t="s">
        <v>290</v>
      </c>
      <c r="G245">
        <v>44.82</v>
      </c>
      <c r="H245">
        <v>586605646</v>
      </c>
      <c r="I245" s="5">
        <v>44950.624214559386</v>
      </c>
    </row>
    <row r="246" spans="1:9" x14ac:dyDescent="0.25">
      <c r="A246" t="s">
        <v>247</v>
      </c>
      <c r="B246" s="2" t="s">
        <v>15</v>
      </c>
      <c r="C246" t="s">
        <v>304</v>
      </c>
      <c r="E246" t="s">
        <v>285</v>
      </c>
      <c r="F246" t="s">
        <v>290</v>
      </c>
      <c r="G246">
        <v>33.04</v>
      </c>
      <c r="H246">
        <v>516969369</v>
      </c>
      <c r="I246" s="5">
        <v>39614.511034482755</v>
      </c>
    </row>
    <row r="247" spans="1:9" x14ac:dyDescent="0.25">
      <c r="A247" t="s">
        <v>247</v>
      </c>
      <c r="B247" s="2" t="s">
        <v>16</v>
      </c>
      <c r="C247" t="s">
        <v>304</v>
      </c>
      <c r="E247" t="s">
        <v>285</v>
      </c>
      <c r="F247" t="s">
        <v>291</v>
      </c>
      <c r="G247">
        <v>33.04</v>
      </c>
      <c r="H247">
        <v>528207834</v>
      </c>
      <c r="I247" s="5">
        <v>40475.696091954022</v>
      </c>
    </row>
    <row r="248" spans="1:9" x14ac:dyDescent="0.25">
      <c r="A248" t="s">
        <v>247</v>
      </c>
      <c r="B248" s="2" t="s">
        <v>252</v>
      </c>
      <c r="C248" t="s">
        <v>304</v>
      </c>
      <c r="E248" t="s">
        <v>285</v>
      </c>
      <c r="F248" t="s">
        <v>291</v>
      </c>
      <c r="G248">
        <v>31.47</v>
      </c>
      <c r="H248">
        <v>465642853</v>
      </c>
      <c r="I248" s="5">
        <v>35681.444674329505</v>
      </c>
    </row>
    <row r="249" spans="1:9" x14ac:dyDescent="0.25">
      <c r="A249" t="s">
        <v>247</v>
      </c>
      <c r="B249" s="2" t="s">
        <v>253</v>
      </c>
      <c r="C249" t="s">
        <v>304</v>
      </c>
      <c r="E249" t="s">
        <v>285</v>
      </c>
      <c r="F249" t="s">
        <v>291</v>
      </c>
      <c r="G249">
        <v>28.91</v>
      </c>
      <c r="H249">
        <v>431851174</v>
      </c>
      <c r="I249" s="5">
        <v>33092.043984674332</v>
      </c>
    </row>
    <row r="250" spans="1:9" x14ac:dyDescent="0.25">
      <c r="A250" t="s">
        <v>247</v>
      </c>
      <c r="B250" s="2" t="s">
        <v>17</v>
      </c>
      <c r="C250" t="s">
        <v>305</v>
      </c>
      <c r="E250" t="s">
        <v>285</v>
      </c>
      <c r="F250" t="s">
        <v>291</v>
      </c>
      <c r="G250">
        <v>40.380000000000003</v>
      </c>
      <c r="H250">
        <v>581337786</v>
      </c>
      <c r="I250" s="5">
        <v>44546.956781609195</v>
      </c>
    </row>
    <row r="251" spans="1:9" x14ac:dyDescent="0.25">
      <c r="A251" t="s">
        <v>247</v>
      </c>
      <c r="B251" s="2" t="s">
        <v>254</v>
      </c>
      <c r="C251" t="s">
        <v>305</v>
      </c>
      <c r="E251" t="s">
        <v>285</v>
      </c>
      <c r="F251" t="s">
        <v>291</v>
      </c>
      <c r="G251">
        <v>48.49</v>
      </c>
      <c r="H251">
        <v>759879704</v>
      </c>
      <c r="I251" s="5">
        <v>58228.329808429116</v>
      </c>
    </row>
    <row r="252" spans="1:9" x14ac:dyDescent="0.25">
      <c r="A252" t="s">
        <v>247</v>
      </c>
      <c r="B252" s="2" t="s">
        <v>255</v>
      </c>
      <c r="C252" t="s">
        <v>304</v>
      </c>
      <c r="E252" t="s">
        <v>285</v>
      </c>
      <c r="F252" t="s">
        <v>291</v>
      </c>
      <c r="G252">
        <v>28.91</v>
      </c>
      <c r="H252">
        <v>450390328</v>
      </c>
      <c r="I252" s="5">
        <v>34512.668812260534</v>
      </c>
    </row>
    <row r="253" spans="1:9" x14ac:dyDescent="0.25">
      <c r="A253" t="s">
        <v>247</v>
      </c>
      <c r="B253" s="2" t="s">
        <v>18</v>
      </c>
      <c r="C253" t="s">
        <v>304</v>
      </c>
      <c r="E253" t="s">
        <v>285</v>
      </c>
      <c r="F253" t="s">
        <v>291</v>
      </c>
      <c r="G253">
        <v>33.04</v>
      </c>
      <c r="H253">
        <v>516969369</v>
      </c>
      <c r="I253" s="5">
        <v>39614.511034482755</v>
      </c>
    </row>
    <row r="254" spans="1:9" x14ac:dyDescent="0.25">
      <c r="A254" t="s">
        <v>247</v>
      </c>
      <c r="B254" s="2" t="s">
        <v>19</v>
      </c>
      <c r="C254" t="s">
        <v>304</v>
      </c>
      <c r="E254" t="s">
        <v>285</v>
      </c>
      <c r="F254" t="s">
        <v>292</v>
      </c>
      <c r="G254">
        <v>33.04</v>
      </c>
      <c r="H254">
        <v>515193857</v>
      </c>
      <c r="I254" s="5">
        <v>39478.456475095787</v>
      </c>
    </row>
    <row r="255" spans="1:9" x14ac:dyDescent="0.25">
      <c r="A255" t="s">
        <v>247</v>
      </c>
      <c r="B255" s="2" t="s">
        <v>20</v>
      </c>
      <c r="C255" t="s">
        <v>304</v>
      </c>
      <c r="E255" t="s">
        <v>285</v>
      </c>
      <c r="F255" t="s">
        <v>292</v>
      </c>
      <c r="G255">
        <v>31.47</v>
      </c>
      <c r="H255">
        <v>458481815</v>
      </c>
      <c r="I255" s="5">
        <v>35132.706130268198</v>
      </c>
    </row>
    <row r="256" spans="1:9" x14ac:dyDescent="0.25">
      <c r="A256" t="s">
        <v>247</v>
      </c>
      <c r="B256" s="2" t="s">
        <v>21</v>
      </c>
      <c r="C256" t="s">
        <v>304</v>
      </c>
      <c r="E256" t="s">
        <v>285</v>
      </c>
      <c r="F256" t="s">
        <v>292</v>
      </c>
      <c r="G256">
        <v>28.91</v>
      </c>
      <c r="H256">
        <v>425149126</v>
      </c>
      <c r="I256" s="5">
        <v>32578.477088122607</v>
      </c>
    </row>
    <row r="257" spans="1:9" x14ac:dyDescent="0.25">
      <c r="A257" t="s">
        <v>247</v>
      </c>
      <c r="B257" s="2" t="s">
        <v>22</v>
      </c>
      <c r="C257" t="s">
        <v>305</v>
      </c>
      <c r="E257" t="s">
        <v>285</v>
      </c>
      <c r="F257" t="s">
        <v>292</v>
      </c>
      <c r="G257">
        <v>40.380000000000003</v>
      </c>
      <c r="H257">
        <v>595558816</v>
      </c>
      <c r="I257" s="5">
        <v>45636.690881226052</v>
      </c>
    </row>
    <row r="258" spans="1:9" x14ac:dyDescent="0.25">
      <c r="A258" t="s">
        <v>247</v>
      </c>
      <c r="B258" s="2" t="s">
        <v>23</v>
      </c>
      <c r="C258" t="s">
        <v>305</v>
      </c>
      <c r="E258" t="s">
        <v>285</v>
      </c>
      <c r="F258" t="s">
        <v>292</v>
      </c>
      <c r="G258">
        <v>48.49</v>
      </c>
      <c r="H258">
        <v>661985068</v>
      </c>
      <c r="I258" s="5">
        <v>50726.825134099614</v>
      </c>
    </row>
    <row r="259" spans="1:9" x14ac:dyDescent="0.25">
      <c r="A259" t="s">
        <v>247</v>
      </c>
      <c r="B259" s="2" t="s">
        <v>25</v>
      </c>
      <c r="C259" t="s">
        <v>304</v>
      </c>
      <c r="E259" t="s">
        <v>285</v>
      </c>
      <c r="F259" t="s">
        <v>292</v>
      </c>
      <c r="G259">
        <v>33.04</v>
      </c>
      <c r="H259">
        <v>481354915</v>
      </c>
      <c r="I259" s="5">
        <v>36885.434099616861</v>
      </c>
    </row>
    <row r="260" spans="1:9" x14ac:dyDescent="0.25">
      <c r="A260" t="s">
        <v>247</v>
      </c>
      <c r="B260" s="2" t="s">
        <v>26</v>
      </c>
      <c r="C260" t="s">
        <v>304</v>
      </c>
      <c r="E260" t="s">
        <v>285</v>
      </c>
      <c r="F260" t="s">
        <v>293</v>
      </c>
      <c r="G260">
        <v>33.04</v>
      </c>
      <c r="H260">
        <v>470968629</v>
      </c>
      <c r="I260" s="5">
        <v>36089.550114942525</v>
      </c>
    </row>
    <row r="261" spans="1:9" x14ac:dyDescent="0.25">
      <c r="A261" t="s">
        <v>247</v>
      </c>
      <c r="B261" s="2" t="s">
        <v>246</v>
      </c>
      <c r="C261" t="s">
        <v>304</v>
      </c>
      <c r="E261" t="s">
        <v>285</v>
      </c>
      <c r="F261" t="s">
        <v>293</v>
      </c>
      <c r="G261">
        <v>31.47</v>
      </c>
      <c r="H261">
        <v>474291532</v>
      </c>
      <c r="I261" s="5">
        <v>36344.178697318006</v>
      </c>
    </row>
    <row r="262" spans="1:9" x14ac:dyDescent="0.25">
      <c r="A262" t="s">
        <v>247</v>
      </c>
      <c r="B262" s="2" t="s">
        <v>27</v>
      </c>
      <c r="C262" t="s">
        <v>304</v>
      </c>
      <c r="E262" t="s">
        <v>285</v>
      </c>
      <c r="F262" t="s">
        <v>293</v>
      </c>
      <c r="G262">
        <v>28.91</v>
      </c>
      <c r="H262">
        <v>439809441</v>
      </c>
      <c r="I262" s="5">
        <v>33701.872873563218</v>
      </c>
    </row>
    <row r="263" spans="1:9" x14ac:dyDescent="0.25">
      <c r="A263" t="s">
        <v>247</v>
      </c>
      <c r="B263" s="2" t="s">
        <v>28</v>
      </c>
      <c r="C263" t="s">
        <v>305</v>
      </c>
      <c r="E263" t="s">
        <v>285</v>
      </c>
      <c r="F263" t="s">
        <v>293</v>
      </c>
      <c r="G263">
        <v>40.380000000000003</v>
      </c>
      <c r="H263">
        <v>568223326</v>
      </c>
      <c r="I263" s="5">
        <v>43542.01731800766</v>
      </c>
    </row>
    <row r="264" spans="1:9" x14ac:dyDescent="0.25">
      <c r="A264" t="s">
        <v>247</v>
      </c>
      <c r="B264" s="2" t="s">
        <v>29</v>
      </c>
      <c r="C264" t="s">
        <v>305</v>
      </c>
      <c r="E264" t="s">
        <v>285</v>
      </c>
      <c r="F264" t="s">
        <v>293</v>
      </c>
      <c r="G264">
        <v>48.49</v>
      </c>
      <c r="H264">
        <v>720202582</v>
      </c>
      <c r="I264" s="5">
        <v>55187.937318007665</v>
      </c>
    </row>
    <row r="265" spans="1:9" x14ac:dyDescent="0.25">
      <c r="A265" t="s">
        <v>247</v>
      </c>
      <c r="B265" s="2" t="s">
        <v>30</v>
      </c>
      <c r="C265" t="s">
        <v>304</v>
      </c>
      <c r="E265" t="s">
        <v>285</v>
      </c>
      <c r="F265" t="s">
        <v>293</v>
      </c>
      <c r="G265">
        <v>28.91</v>
      </c>
      <c r="H265">
        <v>436605287</v>
      </c>
      <c r="I265" s="5">
        <v>33456.343831417624</v>
      </c>
    </row>
    <row r="266" spans="1:9" x14ac:dyDescent="0.25">
      <c r="A266" t="s">
        <v>247</v>
      </c>
      <c r="B266" s="2" t="s">
        <v>256</v>
      </c>
      <c r="C266" t="s">
        <v>304</v>
      </c>
      <c r="E266" t="s">
        <v>285</v>
      </c>
      <c r="F266" t="s">
        <v>293</v>
      </c>
      <c r="G266">
        <v>31.47</v>
      </c>
      <c r="H266">
        <v>487729342</v>
      </c>
      <c r="I266" s="5">
        <v>37373.895938697315</v>
      </c>
    </row>
    <row r="267" spans="1:9" x14ac:dyDescent="0.25">
      <c r="A267" t="s">
        <v>247</v>
      </c>
      <c r="B267" s="2" t="s">
        <v>31</v>
      </c>
      <c r="C267" t="s">
        <v>304</v>
      </c>
      <c r="E267" t="s">
        <v>285</v>
      </c>
      <c r="F267" t="s">
        <v>293</v>
      </c>
      <c r="G267">
        <v>33.04</v>
      </c>
      <c r="H267">
        <v>495719175</v>
      </c>
      <c r="I267" s="5">
        <v>37986.143678160923</v>
      </c>
    </row>
    <row r="268" spans="1:9" x14ac:dyDescent="0.25">
      <c r="A268" t="s">
        <v>247</v>
      </c>
      <c r="B268" s="2" t="s">
        <v>32</v>
      </c>
      <c r="C268" t="s">
        <v>304</v>
      </c>
      <c r="E268" t="s">
        <v>285</v>
      </c>
      <c r="F268" t="s">
        <v>294</v>
      </c>
      <c r="G268">
        <v>33.04</v>
      </c>
      <c r="H268">
        <v>481968723</v>
      </c>
      <c r="I268" s="5">
        <v>36932.4691954023</v>
      </c>
    </row>
    <row r="269" spans="1:9" x14ac:dyDescent="0.25">
      <c r="A269" t="s">
        <v>247</v>
      </c>
      <c r="B269" s="2" t="s">
        <v>35</v>
      </c>
      <c r="C269" t="s">
        <v>305</v>
      </c>
      <c r="E269" t="s">
        <v>285</v>
      </c>
      <c r="F269" t="s">
        <v>294</v>
      </c>
      <c r="G269">
        <v>40.380000000000003</v>
      </c>
      <c r="H269">
        <v>565190840</v>
      </c>
      <c r="I269" s="5">
        <v>43309.642911877396</v>
      </c>
    </row>
    <row r="270" spans="1:9" x14ac:dyDescent="0.25">
      <c r="A270" t="s">
        <v>247</v>
      </c>
      <c r="B270" s="2" t="s">
        <v>36</v>
      </c>
      <c r="C270" t="s">
        <v>305</v>
      </c>
      <c r="E270" t="s">
        <v>285</v>
      </c>
      <c r="F270" t="s">
        <v>294</v>
      </c>
      <c r="G270">
        <v>48.49</v>
      </c>
      <c r="H270">
        <v>721022219</v>
      </c>
      <c r="I270" s="5">
        <v>55250.744750957856</v>
      </c>
    </row>
    <row r="271" spans="1:9" x14ac:dyDescent="0.25">
      <c r="A271" t="s">
        <v>247</v>
      </c>
      <c r="B271" s="2" t="s">
        <v>38</v>
      </c>
      <c r="C271" t="s">
        <v>304</v>
      </c>
      <c r="E271" t="s">
        <v>285</v>
      </c>
      <c r="F271" t="s">
        <v>294</v>
      </c>
      <c r="G271">
        <v>33.04</v>
      </c>
      <c r="H271">
        <v>501068611</v>
      </c>
      <c r="I271" s="5">
        <v>38396.062145593867</v>
      </c>
    </row>
    <row r="272" spans="1:9" x14ac:dyDescent="0.25">
      <c r="A272" t="s">
        <v>247</v>
      </c>
      <c r="B272" s="2" t="s">
        <v>39</v>
      </c>
      <c r="C272" t="s">
        <v>304</v>
      </c>
      <c r="E272" t="s">
        <v>285</v>
      </c>
      <c r="F272" t="s">
        <v>295</v>
      </c>
      <c r="G272">
        <v>33.04</v>
      </c>
      <c r="H272">
        <v>484539725</v>
      </c>
      <c r="I272" s="5">
        <v>37129.480842911878</v>
      </c>
    </row>
    <row r="273" spans="1:9" x14ac:dyDescent="0.25">
      <c r="A273" t="s">
        <v>247</v>
      </c>
      <c r="B273" s="2" t="s">
        <v>40</v>
      </c>
      <c r="C273" t="s">
        <v>305</v>
      </c>
      <c r="E273" t="s">
        <v>285</v>
      </c>
      <c r="F273" t="s">
        <v>295</v>
      </c>
      <c r="G273">
        <v>40.380000000000003</v>
      </c>
      <c r="H273">
        <v>493698901</v>
      </c>
      <c r="I273" s="5">
        <v>37831.333409961684</v>
      </c>
    </row>
    <row r="274" spans="1:9" x14ac:dyDescent="0.25">
      <c r="A274" t="s">
        <v>247</v>
      </c>
      <c r="B274" s="2" t="s">
        <v>257</v>
      </c>
      <c r="C274" t="s">
        <v>305</v>
      </c>
      <c r="E274" t="s">
        <v>285</v>
      </c>
      <c r="F274" t="s">
        <v>295</v>
      </c>
      <c r="G274">
        <v>48.49</v>
      </c>
      <c r="H274">
        <v>694783668</v>
      </c>
      <c r="I274" s="5">
        <v>53240.127816091954</v>
      </c>
    </row>
    <row r="275" spans="1:9" x14ac:dyDescent="0.25">
      <c r="A275" t="s">
        <v>247</v>
      </c>
      <c r="B275" s="2" t="s">
        <v>41</v>
      </c>
      <c r="C275" t="s">
        <v>304</v>
      </c>
      <c r="E275" t="s">
        <v>285</v>
      </c>
      <c r="F275" t="s">
        <v>295</v>
      </c>
      <c r="G275">
        <v>33.04</v>
      </c>
      <c r="H275">
        <v>505243450</v>
      </c>
      <c r="I275" s="5">
        <v>38715.973180076631</v>
      </c>
    </row>
    <row r="276" spans="1:9" x14ac:dyDescent="0.25">
      <c r="A276" t="s">
        <v>247</v>
      </c>
      <c r="B276" s="2" t="s">
        <v>42</v>
      </c>
      <c r="C276" t="s">
        <v>304</v>
      </c>
      <c r="E276" t="s">
        <v>285</v>
      </c>
      <c r="F276" t="s">
        <v>296</v>
      </c>
      <c r="G276">
        <v>33.11</v>
      </c>
      <c r="H276">
        <v>466348684</v>
      </c>
      <c r="I276" s="5">
        <v>35735.531340996167</v>
      </c>
    </row>
    <row r="277" spans="1:9" x14ac:dyDescent="0.25">
      <c r="A277" t="s">
        <v>247</v>
      </c>
      <c r="B277" s="2" t="s">
        <v>43</v>
      </c>
      <c r="C277" t="s">
        <v>305</v>
      </c>
      <c r="E277" t="s">
        <v>285</v>
      </c>
      <c r="F277" t="s">
        <v>296</v>
      </c>
      <c r="G277">
        <v>40.44</v>
      </c>
      <c r="H277">
        <v>550820954</v>
      </c>
      <c r="I277" s="5">
        <v>42208.502222222225</v>
      </c>
    </row>
    <row r="278" spans="1:9" x14ac:dyDescent="0.25">
      <c r="A278" t="s">
        <v>247</v>
      </c>
      <c r="B278" s="2" t="s">
        <v>45</v>
      </c>
      <c r="C278" t="s">
        <v>304</v>
      </c>
      <c r="E278" t="s">
        <v>285</v>
      </c>
      <c r="F278" t="s">
        <v>296</v>
      </c>
      <c r="G278">
        <v>33.11</v>
      </c>
      <c r="H278">
        <v>443065449</v>
      </c>
      <c r="I278" s="5">
        <v>33951.375402298851</v>
      </c>
    </row>
    <row r="279" spans="1:9" x14ac:dyDescent="0.25">
      <c r="A279" t="s">
        <v>247</v>
      </c>
      <c r="B279" s="2" t="s">
        <v>46</v>
      </c>
      <c r="C279" t="s">
        <v>304</v>
      </c>
      <c r="E279" t="s">
        <v>285</v>
      </c>
      <c r="F279" t="s">
        <v>297</v>
      </c>
      <c r="G279">
        <v>33.11</v>
      </c>
      <c r="H279">
        <v>446424725</v>
      </c>
      <c r="I279" s="5">
        <v>34208.791187739465</v>
      </c>
    </row>
    <row r="280" spans="1:9" x14ac:dyDescent="0.25">
      <c r="A280" t="s">
        <v>247</v>
      </c>
      <c r="B280" s="2" t="s">
        <v>48</v>
      </c>
      <c r="C280" t="s">
        <v>305</v>
      </c>
      <c r="E280" t="s">
        <v>285</v>
      </c>
      <c r="F280" t="s">
        <v>297</v>
      </c>
      <c r="G280">
        <v>40.44</v>
      </c>
      <c r="H280">
        <v>550068709</v>
      </c>
      <c r="I280" s="5">
        <v>42150.858927203066</v>
      </c>
    </row>
    <row r="281" spans="1:9" x14ac:dyDescent="0.25">
      <c r="A281" t="s">
        <v>247</v>
      </c>
      <c r="B281" s="2" t="s">
        <v>50</v>
      </c>
      <c r="C281" t="s">
        <v>304</v>
      </c>
      <c r="E281" t="s">
        <v>285</v>
      </c>
      <c r="F281" t="s">
        <v>297</v>
      </c>
      <c r="G281">
        <v>33.11</v>
      </c>
      <c r="H281">
        <v>468206506</v>
      </c>
      <c r="I281" s="5">
        <v>35877.89318007663</v>
      </c>
    </row>
    <row r="282" spans="1:9" x14ac:dyDescent="0.25">
      <c r="A282" t="s">
        <v>247</v>
      </c>
      <c r="B282" s="2" t="s">
        <v>53</v>
      </c>
      <c r="C282" t="s">
        <v>305</v>
      </c>
      <c r="E282" t="s">
        <v>285</v>
      </c>
      <c r="F282" t="s">
        <v>298</v>
      </c>
      <c r="G282">
        <v>40.44</v>
      </c>
      <c r="H282">
        <v>541697611</v>
      </c>
      <c r="I282" s="5">
        <v>41509.395478927203</v>
      </c>
    </row>
    <row r="283" spans="1:9" x14ac:dyDescent="0.25">
      <c r="A283" t="s">
        <v>247</v>
      </c>
      <c r="B283" s="2" t="s">
        <v>54</v>
      </c>
      <c r="C283" t="s">
        <v>305</v>
      </c>
      <c r="E283" t="s">
        <v>285</v>
      </c>
      <c r="F283" t="s">
        <v>298</v>
      </c>
      <c r="G283">
        <v>48.55</v>
      </c>
      <c r="H283">
        <v>677323348</v>
      </c>
      <c r="I283" s="5">
        <v>51902.172260536398</v>
      </c>
    </row>
    <row r="284" spans="1:9" x14ac:dyDescent="0.25">
      <c r="A284" t="s">
        <v>247</v>
      </c>
      <c r="B284" s="2" t="s">
        <v>258</v>
      </c>
      <c r="C284" t="s">
        <v>304</v>
      </c>
      <c r="E284" t="s">
        <v>285</v>
      </c>
      <c r="F284" t="s">
        <v>298</v>
      </c>
      <c r="G284">
        <v>33.11</v>
      </c>
      <c r="H284">
        <v>443411619</v>
      </c>
      <c r="I284" s="5">
        <v>33977.901839080463</v>
      </c>
    </row>
    <row r="285" spans="1:9" x14ac:dyDescent="0.25">
      <c r="A285" t="s">
        <v>247</v>
      </c>
      <c r="B285" s="2" t="s">
        <v>259</v>
      </c>
      <c r="C285" t="s">
        <v>304</v>
      </c>
      <c r="E285" t="s">
        <v>285</v>
      </c>
      <c r="F285" t="s">
        <v>299</v>
      </c>
      <c r="G285">
        <v>29.04</v>
      </c>
      <c r="H285">
        <v>367906875</v>
      </c>
      <c r="I285" s="5">
        <v>28192.097701149425</v>
      </c>
    </row>
    <row r="286" spans="1:9" x14ac:dyDescent="0.25">
      <c r="A286" t="s">
        <v>247</v>
      </c>
      <c r="B286" s="2" t="s">
        <v>56</v>
      </c>
      <c r="C286" t="s">
        <v>305</v>
      </c>
      <c r="E286" t="s">
        <v>285</v>
      </c>
      <c r="F286" t="s">
        <v>299</v>
      </c>
      <c r="G286">
        <v>40.44</v>
      </c>
      <c r="H286">
        <v>529569240</v>
      </c>
      <c r="I286" s="5">
        <v>40580.018390804595</v>
      </c>
    </row>
    <row r="287" spans="1:9" x14ac:dyDescent="0.25">
      <c r="A287" t="s">
        <v>247</v>
      </c>
      <c r="B287" s="2" t="s">
        <v>57</v>
      </c>
      <c r="C287" t="s">
        <v>305</v>
      </c>
      <c r="E287" t="s">
        <v>285</v>
      </c>
      <c r="F287" t="s">
        <v>299</v>
      </c>
      <c r="G287">
        <v>48.55</v>
      </c>
      <c r="H287">
        <v>585650934</v>
      </c>
      <c r="I287" s="5">
        <v>44877.466206896548</v>
      </c>
    </row>
    <row r="288" spans="1:9" x14ac:dyDescent="0.25">
      <c r="A288" t="s">
        <v>247</v>
      </c>
      <c r="B288" s="2" t="s">
        <v>260</v>
      </c>
      <c r="C288" t="s">
        <v>304</v>
      </c>
      <c r="E288" t="s">
        <v>285</v>
      </c>
      <c r="F288" t="s">
        <v>299</v>
      </c>
      <c r="G288">
        <v>29.04</v>
      </c>
      <c r="H288">
        <v>356889584</v>
      </c>
      <c r="I288" s="5">
        <v>27347.860842911876</v>
      </c>
    </row>
    <row r="289" spans="1:9" x14ac:dyDescent="0.25">
      <c r="A289" t="s">
        <v>247</v>
      </c>
      <c r="B289" s="2" t="s">
        <v>261</v>
      </c>
      <c r="C289" t="s">
        <v>304</v>
      </c>
      <c r="E289" t="s">
        <v>285</v>
      </c>
      <c r="F289" t="s">
        <v>299</v>
      </c>
      <c r="G289">
        <v>33.11</v>
      </c>
      <c r="H289">
        <v>502049959</v>
      </c>
      <c r="I289" s="5">
        <v>38471.261226053641</v>
      </c>
    </row>
    <row r="290" spans="1:9" x14ac:dyDescent="0.25">
      <c r="A290" t="s">
        <v>247</v>
      </c>
      <c r="B290" s="2" t="s">
        <v>59</v>
      </c>
      <c r="C290" t="s">
        <v>305</v>
      </c>
      <c r="E290" t="s">
        <v>285</v>
      </c>
      <c r="F290" t="s">
        <v>300</v>
      </c>
      <c r="G290">
        <v>40.44</v>
      </c>
      <c r="H290">
        <v>538656497</v>
      </c>
      <c r="I290" s="5">
        <v>41276.359923371645</v>
      </c>
    </row>
    <row r="291" spans="1:9" x14ac:dyDescent="0.25">
      <c r="A291" t="s">
        <v>247</v>
      </c>
      <c r="B291" s="2" t="s">
        <v>61</v>
      </c>
      <c r="C291" t="s">
        <v>304</v>
      </c>
      <c r="E291" t="s">
        <v>285</v>
      </c>
      <c r="F291" t="s">
        <v>300</v>
      </c>
      <c r="G291">
        <v>33.11</v>
      </c>
      <c r="H291">
        <v>437878213</v>
      </c>
      <c r="I291" s="5">
        <v>33553.88605363985</v>
      </c>
    </row>
    <row r="292" spans="1:9" x14ac:dyDescent="0.25">
      <c r="A292" t="s">
        <v>247</v>
      </c>
      <c r="B292" s="2" t="s">
        <v>262</v>
      </c>
      <c r="C292" t="s">
        <v>304</v>
      </c>
      <c r="E292" t="s">
        <v>285</v>
      </c>
      <c r="F292" t="s">
        <v>301</v>
      </c>
      <c r="G292">
        <v>33.11</v>
      </c>
      <c r="H292">
        <v>452495843</v>
      </c>
      <c r="I292" s="5">
        <v>34674.010957854407</v>
      </c>
    </row>
    <row r="293" spans="1:9" x14ac:dyDescent="0.25">
      <c r="A293" t="s">
        <v>247</v>
      </c>
      <c r="B293" s="2" t="s">
        <v>62</v>
      </c>
      <c r="C293" t="s">
        <v>304</v>
      </c>
      <c r="E293" t="s">
        <v>285</v>
      </c>
      <c r="F293" t="s">
        <v>301</v>
      </c>
      <c r="G293">
        <v>29.04</v>
      </c>
      <c r="H293">
        <v>349646437</v>
      </c>
      <c r="I293" s="5">
        <v>26792.830421455939</v>
      </c>
    </row>
    <row r="294" spans="1:9" x14ac:dyDescent="0.25">
      <c r="A294" t="s">
        <v>247</v>
      </c>
      <c r="B294" s="2" t="s">
        <v>63</v>
      </c>
      <c r="C294" t="s">
        <v>305</v>
      </c>
      <c r="E294" t="s">
        <v>285</v>
      </c>
      <c r="F294" t="s">
        <v>301</v>
      </c>
      <c r="G294">
        <v>40.44</v>
      </c>
      <c r="H294">
        <v>503526726</v>
      </c>
      <c r="I294" s="5">
        <v>38584.423448275862</v>
      </c>
    </row>
    <row r="295" spans="1:9" x14ac:dyDescent="0.25">
      <c r="A295" t="s">
        <v>247</v>
      </c>
      <c r="B295" s="2" t="s">
        <v>64</v>
      </c>
      <c r="C295" t="s">
        <v>305</v>
      </c>
      <c r="E295" t="s">
        <v>285</v>
      </c>
      <c r="F295" t="s">
        <v>301</v>
      </c>
      <c r="G295">
        <v>48.55</v>
      </c>
      <c r="H295">
        <v>659246609</v>
      </c>
      <c r="I295" s="5">
        <v>50516.98153256705</v>
      </c>
    </row>
    <row r="296" spans="1:9" x14ac:dyDescent="0.25">
      <c r="A296" t="s">
        <v>247</v>
      </c>
      <c r="B296" s="2" t="s">
        <v>263</v>
      </c>
      <c r="C296" t="s">
        <v>304</v>
      </c>
      <c r="E296" t="s">
        <v>285</v>
      </c>
      <c r="F296" t="s">
        <v>301</v>
      </c>
      <c r="G296">
        <v>33.11</v>
      </c>
      <c r="H296">
        <v>447296954</v>
      </c>
      <c r="I296" s="5">
        <v>34275.628659003829</v>
      </c>
    </row>
    <row r="297" spans="1:9" x14ac:dyDescent="0.25">
      <c r="A297" t="s">
        <v>247</v>
      </c>
      <c r="B297" s="2" t="s">
        <v>67</v>
      </c>
      <c r="C297" t="s">
        <v>304</v>
      </c>
      <c r="E297" t="s">
        <v>285</v>
      </c>
      <c r="F297" t="s">
        <v>302</v>
      </c>
      <c r="G297">
        <v>28.99</v>
      </c>
      <c r="H297">
        <v>347017185</v>
      </c>
      <c r="I297" s="5">
        <v>26591.355172413794</v>
      </c>
    </row>
    <row r="298" spans="1:9" x14ac:dyDescent="0.25">
      <c r="A298" t="s">
        <v>247</v>
      </c>
      <c r="B298" s="2" t="s">
        <v>68</v>
      </c>
      <c r="C298" t="s">
        <v>305</v>
      </c>
      <c r="E298" t="s">
        <v>285</v>
      </c>
      <c r="F298" t="s">
        <v>302</v>
      </c>
      <c r="G298">
        <v>40.33</v>
      </c>
      <c r="H298">
        <v>520222267</v>
      </c>
      <c r="I298" s="5">
        <v>39863.775249042148</v>
      </c>
    </row>
    <row r="299" spans="1:9" x14ac:dyDescent="0.25">
      <c r="A299" t="s">
        <v>247</v>
      </c>
      <c r="B299" s="2" t="s">
        <v>71</v>
      </c>
      <c r="C299" t="s">
        <v>304</v>
      </c>
      <c r="E299" t="s">
        <v>285</v>
      </c>
      <c r="F299" t="s">
        <v>302</v>
      </c>
      <c r="G299">
        <v>33</v>
      </c>
      <c r="H299">
        <v>408572615</v>
      </c>
      <c r="I299" s="5">
        <v>31308.246360153258</v>
      </c>
    </row>
    <row r="300" spans="1:9" x14ac:dyDescent="0.25">
      <c r="A300" t="s">
        <v>247</v>
      </c>
      <c r="B300" s="2" t="s">
        <v>73</v>
      </c>
      <c r="C300" t="s">
        <v>304</v>
      </c>
      <c r="E300" t="s">
        <v>285</v>
      </c>
      <c r="F300" t="s">
        <v>303</v>
      </c>
      <c r="G300">
        <v>28.99</v>
      </c>
      <c r="H300">
        <v>339328710</v>
      </c>
      <c r="I300" s="5">
        <v>26002.2</v>
      </c>
    </row>
    <row r="301" spans="1:9" x14ac:dyDescent="0.25">
      <c r="A301" t="s">
        <v>247</v>
      </c>
      <c r="B301" s="2" t="s">
        <v>74</v>
      </c>
      <c r="C301" t="s">
        <v>305</v>
      </c>
      <c r="E301" t="s">
        <v>285</v>
      </c>
      <c r="F301" t="s">
        <v>303</v>
      </c>
      <c r="G301">
        <v>40.33</v>
      </c>
      <c r="H301">
        <v>458944988</v>
      </c>
      <c r="I301" s="5">
        <v>35168.198314176247</v>
      </c>
    </row>
    <row r="302" spans="1:9" x14ac:dyDescent="0.25">
      <c r="A302" t="s">
        <v>247</v>
      </c>
      <c r="B302" s="2" t="s">
        <v>75</v>
      </c>
      <c r="C302" t="s">
        <v>305</v>
      </c>
      <c r="E302" t="s">
        <v>285</v>
      </c>
      <c r="F302" t="s">
        <v>303</v>
      </c>
      <c r="G302">
        <v>48.44</v>
      </c>
      <c r="H302">
        <v>557883172</v>
      </c>
      <c r="I302" s="5">
        <v>42749.668352490422</v>
      </c>
    </row>
    <row r="303" spans="1:9" x14ac:dyDescent="0.25">
      <c r="A303" t="s">
        <v>247</v>
      </c>
      <c r="B303" s="2" t="s">
        <v>76</v>
      </c>
      <c r="C303" t="s">
        <v>304</v>
      </c>
      <c r="E303" t="s">
        <v>285</v>
      </c>
      <c r="F303" t="s">
        <v>303</v>
      </c>
      <c r="G303">
        <v>28.99</v>
      </c>
      <c r="H303">
        <v>369065896</v>
      </c>
      <c r="I303" s="5">
        <v>28280.911570881228</v>
      </c>
    </row>
    <row r="304" spans="1:9" x14ac:dyDescent="0.25">
      <c r="A304" t="s">
        <v>247</v>
      </c>
      <c r="B304" s="2" t="s">
        <v>80</v>
      </c>
      <c r="C304" t="s">
        <v>304</v>
      </c>
      <c r="E304" t="s">
        <v>286</v>
      </c>
      <c r="F304" t="s">
        <v>289</v>
      </c>
      <c r="G304">
        <v>33.6</v>
      </c>
      <c r="H304">
        <v>519669279</v>
      </c>
      <c r="I304" s="5">
        <v>39821.400689655173</v>
      </c>
    </row>
    <row r="305" spans="1:9" x14ac:dyDescent="0.25">
      <c r="A305" t="s">
        <v>247</v>
      </c>
      <c r="B305" s="2" t="s">
        <v>264</v>
      </c>
      <c r="C305" t="s">
        <v>305</v>
      </c>
      <c r="E305" t="s">
        <v>286</v>
      </c>
      <c r="F305" t="s">
        <v>290</v>
      </c>
      <c r="G305">
        <v>56.24</v>
      </c>
      <c r="H305">
        <v>791782845</v>
      </c>
      <c r="I305" s="5">
        <v>60673.014942528738</v>
      </c>
    </row>
    <row r="306" spans="1:9" x14ac:dyDescent="0.25">
      <c r="A306" t="s">
        <v>247</v>
      </c>
      <c r="B306" s="2" t="s">
        <v>83</v>
      </c>
      <c r="C306" t="s">
        <v>305</v>
      </c>
      <c r="E306" t="s">
        <v>286</v>
      </c>
      <c r="F306" t="s">
        <v>290</v>
      </c>
      <c r="G306">
        <v>44.21</v>
      </c>
      <c r="H306">
        <v>637380697</v>
      </c>
      <c r="I306" s="5">
        <v>48841.432720306511</v>
      </c>
    </row>
    <row r="307" spans="1:9" x14ac:dyDescent="0.25">
      <c r="A307" t="s">
        <v>247</v>
      </c>
      <c r="B307" s="2" t="s">
        <v>85</v>
      </c>
      <c r="C307" t="s">
        <v>304</v>
      </c>
      <c r="E307" t="s">
        <v>286</v>
      </c>
      <c r="F307" t="s">
        <v>290</v>
      </c>
      <c r="G307">
        <v>33.33</v>
      </c>
      <c r="H307">
        <v>523717938</v>
      </c>
      <c r="I307" s="5">
        <v>40131.642758620692</v>
      </c>
    </row>
    <row r="308" spans="1:9" x14ac:dyDescent="0.25">
      <c r="A308" t="s">
        <v>247</v>
      </c>
      <c r="B308" s="2" t="s">
        <v>89</v>
      </c>
      <c r="C308" t="s">
        <v>306</v>
      </c>
      <c r="E308" t="s">
        <v>286</v>
      </c>
      <c r="F308" t="s">
        <v>291</v>
      </c>
      <c r="G308">
        <v>57.83</v>
      </c>
      <c r="H308">
        <v>888782054</v>
      </c>
      <c r="I308" s="5">
        <v>68105.904521072793</v>
      </c>
    </row>
    <row r="309" spans="1:9" x14ac:dyDescent="0.25">
      <c r="A309" t="s">
        <v>247</v>
      </c>
      <c r="B309" s="2" t="s">
        <v>90</v>
      </c>
      <c r="C309" t="s">
        <v>304</v>
      </c>
      <c r="E309" t="s">
        <v>286</v>
      </c>
      <c r="F309" t="s">
        <v>291</v>
      </c>
      <c r="G309">
        <v>33.33</v>
      </c>
      <c r="H309">
        <v>443556480</v>
      </c>
      <c r="I309" s="5">
        <v>33989.002298850573</v>
      </c>
    </row>
    <row r="310" spans="1:9" x14ac:dyDescent="0.25">
      <c r="A310" t="s">
        <v>247</v>
      </c>
      <c r="B310" s="2" t="s">
        <v>92</v>
      </c>
      <c r="C310" t="s">
        <v>305</v>
      </c>
      <c r="E310" t="s">
        <v>286</v>
      </c>
      <c r="F310" t="s">
        <v>291</v>
      </c>
      <c r="G310">
        <v>54.79</v>
      </c>
      <c r="H310">
        <v>761908192</v>
      </c>
      <c r="I310" s="5">
        <v>58383.769501915711</v>
      </c>
    </row>
    <row r="311" spans="1:9" x14ac:dyDescent="0.25">
      <c r="A311" t="s">
        <v>247</v>
      </c>
      <c r="B311" s="2" t="s">
        <v>95</v>
      </c>
      <c r="C311" t="s">
        <v>306</v>
      </c>
      <c r="E311" t="s">
        <v>286</v>
      </c>
      <c r="F311" t="s">
        <v>292</v>
      </c>
      <c r="G311">
        <v>57.83</v>
      </c>
      <c r="H311">
        <v>864832255</v>
      </c>
      <c r="I311" s="5">
        <v>66270.670881226048</v>
      </c>
    </row>
    <row r="312" spans="1:9" x14ac:dyDescent="0.25">
      <c r="A312" t="s">
        <v>247</v>
      </c>
      <c r="B312" s="2" t="s">
        <v>96</v>
      </c>
      <c r="C312" t="s">
        <v>304</v>
      </c>
      <c r="E312" t="s">
        <v>286</v>
      </c>
      <c r="F312" t="s">
        <v>292</v>
      </c>
      <c r="G312">
        <v>33.33</v>
      </c>
      <c r="H312">
        <v>454667920</v>
      </c>
      <c r="I312" s="5">
        <v>34840.453639846746</v>
      </c>
    </row>
    <row r="313" spans="1:9" x14ac:dyDescent="0.25">
      <c r="A313" t="s">
        <v>247</v>
      </c>
      <c r="B313" s="2" t="s">
        <v>98</v>
      </c>
      <c r="C313" t="s">
        <v>305</v>
      </c>
      <c r="E313" t="s">
        <v>286</v>
      </c>
      <c r="F313" t="s">
        <v>292</v>
      </c>
      <c r="G313">
        <v>54.79</v>
      </c>
      <c r="H313">
        <v>797886199</v>
      </c>
      <c r="I313" s="5">
        <v>61140.704904214559</v>
      </c>
    </row>
    <row r="314" spans="1:9" x14ac:dyDescent="0.25">
      <c r="A314" t="s">
        <v>247</v>
      </c>
      <c r="B314" s="2" t="s">
        <v>99</v>
      </c>
      <c r="C314" t="s">
        <v>305</v>
      </c>
      <c r="E314" t="s">
        <v>286</v>
      </c>
      <c r="F314" t="s">
        <v>293</v>
      </c>
      <c r="G314">
        <v>56.24</v>
      </c>
      <c r="H314">
        <v>787519655</v>
      </c>
      <c r="I314" s="5">
        <v>60346.333716475099</v>
      </c>
    </row>
    <row r="315" spans="1:9" x14ac:dyDescent="0.25">
      <c r="A315" t="s">
        <v>247</v>
      </c>
      <c r="B315" s="2" t="s">
        <v>101</v>
      </c>
      <c r="C315" t="s">
        <v>306</v>
      </c>
      <c r="E315" t="s">
        <v>286</v>
      </c>
      <c r="F315" t="s">
        <v>293</v>
      </c>
      <c r="G315">
        <v>57.83</v>
      </c>
      <c r="H315">
        <v>869884172</v>
      </c>
      <c r="I315" s="5">
        <v>66657.790957854406</v>
      </c>
    </row>
    <row r="316" spans="1:9" x14ac:dyDescent="0.25">
      <c r="A316" t="s">
        <v>247</v>
      </c>
      <c r="B316" s="2" t="s">
        <v>102</v>
      </c>
      <c r="C316" t="s">
        <v>304</v>
      </c>
      <c r="E316" t="s">
        <v>286</v>
      </c>
      <c r="F316" t="s">
        <v>293</v>
      </c>
      <c r="G316">
        <v>33.33</v>
      </c>
      <c r="H316">
        <v>485319690</v>
      </c>
      <c r="I316" s="5">
        <v>37189.248275862068</v>
      </c>
    </row>
    <row r="317" spans="1:9" x14ac:dyDescent="0.25">
      <c r="A317" t="s">
        <v>247</v>
      </c>
      <c r="B317" s="2" t="s">
        <v>104</v>
      </c>
      <c r="C317" t="s">
        <v>305</v>
      </c>
      <c r="E317" t="s">
        <v>286</v>
      </c>
      <c r="F317" t="s">
        <v>293</v>
      </c>
      <c r="G317">
        <v>54.79</v>
      </c>
      <c r="H317">
        <v>736947082</v>
      </c>
      <c r="I317" s="5">
        <v>56471.040766283528</v>
      </c>
    </row>
    <row r="318" spans="1:9" x14ac:dyDescent="0.25">
      <c r="A318" t="s">
        <v>247</v>
      </c>
      <c r="B318" s="2" t="s">
        <v>105</v>
      </c>
      <c r="C318" t="s">
        <v>305</v>
      </c>
      <c r="E318" t="s">
        <v>286</v>
      </c>
      <c r="F318" t="s">
        <v>294</v>
      </c>
      <c r="G318">
        <v>56.24</v>
      </c>
      <c r="H318">
        <v>800651108</v>
      </c>
      <c r="I318" s="5">
        <v>61352.575325670499</v>
      </c>
    </row>
    <row r="319" spans="1:9" x14ac:dyDescent="0.25">
      <c r="A319" t="s">
        <v>247</v>
      </c>
      <c r="B319" s="2" t="s">
        <v>107</v>
      </c>
      <c r="C319" t="s">
        <v>306</v>
      </c>
      <c r="E319" t="s">
        <v>286</v>
      </c>
      <c r="F319" t="s">
        <v>294</v>
      </c>
      <c r="G319">
        <v>57.83</v>
      </c>
      <c r="H319">
        <v>845443611</v>
      </c>
      <c r="I319" s="5">
        <v>64784.951034482758</v>
      </c>
    </row>
    <row r="320" spans="1:9" x14ac:dyDescent="0.25">
      <c r="A320" t="s">
        <v>247</v>
      </c>
      <c r="B320" s="2" t="s">
        <v>108</v>
      </c>
      <c r="C320" t="s">
        <v>304</v>
      </c>
      <c r="E320" t="s">
        <v>286</v>
      </c>
      <c r="F320" t="s">
        <v>294</v>
      </c>
      <c r="G320">
        <v>33.33</v>
      </c>
      <c r="H320">
        <v>447193272</v>
      </c>
      <c r="I320" s="5">
        <v>34267.683678160916</v>
      </c>
    </row>
    <row r="321" spans="1:9" x14ac:dyDescent="0.25">
      <c r="A321" t="s">
        <v>247</v>
      </c>
      <c r="B321" s="2" t="s">
        <v>110</v>
      </c>
      <c r="C321" t="s">
        <v>305</v>
      </c>
      <c r="E321" t="s">
        <v>286</v>
      </c>
      <c r="F321" t="s">
        <v>294</v>
      </c>
      <c r="G321">
        <v>54.79</v>
      </c>
      <c r="H321">
        <v>727214573</v>
      </c>
      <c r="I321" s="5">
        <v>55725.254636015328</v>
      </c>
    </row>
    <row r="322" spans="1:9" x14ac:dyDescent="0.25">
      <c r="A322" t="s">
        <v>247</v>
      </c>
      <c r="B322" s="2" t="s">
        <v>113</v>
      </c>
      <c r="C322" t="s">
        <v>306</v>
      </c>
      <c r="E322" t="s">
        <v>286</v>
      </c>
      <c r="F322" t="s">
        <v>295</v>
      </c>
      <c r="G322">
        <v>57.83</v>
      </c>
      <c r="H322">
        <v>821964882</v>
      </c>
      <c r="I322" s="5">
        <v>62985.814712643682</v>
      </c>
    </row>
    <row r="323" spans="1:9" x14ac:dyDescent="0.25">
      <c r="A323" t="s">
        <v>247</v>
      </c>
      <c r="B323" s="2" t="s">
        <v>114</v>
      </c>
      <c r="C323" t="s">
        <v>304</v>
      </c>
      <c r="E323" t="s">
        <v>286</v>
      </c>
      <c r="F323" t="s">
        <v>295</v>
      </c>
      <c r="G323">
        <v>33.33</v>
      </c>
      <c r="H323">
        <v>407335759</v>
      </c>
      <c r="I323" s="5">
        <v>31213.468122605365</v>
      </c>
    </row>
    <row r="324" spans="1:9" x14ac:dyDescent="0.25">
      <c r="A324" t="s">
        <v>247</v>
      </c>
      <c r="B324" s="2" t="s">
        <v>116</v>
      </c>
      <c r="C324" t="s">
        <v>305</v>
      </c>
      <c r="E324" t="s">
        <v>286</v>
      </c>
      <c r="F324" t="s">
        <v>295</v>
      </c>
      <c r="G324">
        <v>54.79</v>
      </c>
      <c r="H324">
        <v>734220237</v>
      </c>
      <c r="I324" s="5">
        <v>56262.087126436782</v>
      </c>
    </row>
    <row r="325" spans="1:9" x14ac:dyDescent="0.25">
      <c r="A325" t="s">
        <v>247</v>
      </c>
      <c r="B325" s="2" t="s">
        <v>117</v>
      </c>
      <c r="C325" t="s">
        <v>305</v>
      </c>
      <c r="E325" t="s">
        <v>286</v>
      </c>
      <c r="F325" t="s">
        <v>296</v>
      </c>
      <c r="G325">
        <v>56.31</v>
      </c>
      <c r="H325">
        <v>787296366</v>
      </c>
      <c r="I325" s="5">
        <v>60329.223448275865</v>
      </c>
    </row>
    <row r="326" spans="1:9" x14ac:dyDescent="0.25">
      <c r="A326" t="s">
        <v>247</v>
      </c>
      <c r="B326" s="2" t="s">
        <v>118</v>
      </c>
      <c r="C326" t="s">
        <v>305</v>
      </c>
      <c r="E326" t="s">
        <v>286</v>
      </c>
      <c r="F326" t="s">
        <v>296</v>
      </c>
      <c r="G326">
        <v>44.28</v>
      </c>
      <c r="H326">
        <v>597252557</v>
      </c>
      <c r="I326" s="5">
        <v>45766.479463601536</v>
      </c>
    </row>
    <row r="327" spans="1:9" x14ac:dyDescent="0.25">
      <c r="A327" t="s">
        <v>247</v>
      </c>
      <c r="B327" s="2" t="s">
        <v>120</v>
      </c>
      <c r="C327" t="s">
        <v>304</v>
      </c>
      <c r="E327" t="s">
        <v>286</v>
      </c>
      <c r="F327" t="s">
        <v>296</v>
      </c>
      <c r="G327">
        <v>33.4</v>
      </c>
      <c r="H327">
        <v>473626764</v>
      </c>
      <c r="I327" s="5">
        <v>36293.238620689655</v>
      </c>
    </row>
    <row r="328" spans="1:9" x14ac:dyDescent="0.25">
      <c r="A328" t="s">
        <v>247</v>
      </c>
      <c r="B328" s="2" t="s">
        <v>122</v>
      </c>
      <c r="C328" t="s">
        <v>305</v>
      </c>
      <c r="E328" t="s">
        <v>286</v>
      </c>
      <c r="F328" t="s">
        <v>296</v>
      </c>
      <c r="G328">
        <v>54.86</v>
      </c>
      <c r="H328">
        <v>763501810</v>
      </c>
      <c r="I328" s="5">
        <v>58505.88582375479</v>
      </c>
    </row>
    <row r="329" spans="1:9" x14ac:dyDescent="0.25">
      <c r="A329" t="s">
        <v>247</v>
      </c>
      <c r="B329" s="2" t="s">
        <v>123</v>
      </c>
      <c r="C329" t="s">
        <v>305</v>
      </c>
      <c r="E329" t="s">
        <v>286</v>
      </c>
      <c r="F329" t="s">
        <v>297</v>
      </c>
      <c r="G329">
        <v>56.31</v>
      </c>
      <c r="H329">
        <v>757123497</v>
      </c>
      <c r="I329" s="5">
        <v>58017.126206896552</v>
      </c>
    </row>
    <row r="330" spans="1:9" x14ac:dyDescent="0.25">
      <c r="A330" t="s">
        <v>247</v>
      </c>
      <c r="B330" s="2" t="s">
        <v>124</v>
      </c>
      <c r="C330" t="s">
        <v>305</v>
      </c>
      <c r="E330" t="s">
        <v>286</v>
      </c>
      <c r="F330" t="s">
        <v>297</v>
      </c>
      <c r="G330">
        <v>44.28</v>
      </c>
      <c r="H330">
        <v>625149936</v>
      </c>
      <c r="I330" s="5">
        <v>47904.209655172417</v>
      </c>
    </row>
    <row r="331" spans="1:9" x14ac:dyDescent="0.25">
      <c r="A331" t="s">
        <v>247</v>
      </c>
      <c r="B331" s="2" t="s">
        <v>125</v>
      </c>
      <c r="C331" t="s">
        <v>306</v>
      </c>
      <c r="E331" t="s">
        <v>286</v>
      </c>
      <c r="F331" t="s">
        <v>297</v>
      </c>
      <c r="G331">
        <v>57.9</v>
      </c>
      <c r="H331">
        <v>812410145</v>
      </c>
      <c r="I331" s="5">
        <v>62253.650957854406</v>
      </c>
    </row>
    <row r="332" spans="1:9" x14ac:dyDescent="0.25">
      <c r="A332" t="s">
        <v>247</v>
      </c>
      <c r="B332" s="2" t="s">
        <v>126</v>
      </c>
      <c r="C332" t="s">
        <v>304</v>
      </c>
      <c r="E332" t="s">
        <v>286</v>
      </c>
      <c r="F332" t="s">
        <v>297</v>
      </c>
      <c r="G332">
        <v>33.4</v>
      </c>
      <c r="H332">
        <v>431471174</v>
      </c>
      <c r="I332" s="5">
        <v>33062.925210727968</v>
      </c>
    </row>
    <row r="333" spans="1:9" x14ac:dyDescent="0.25">
      <c r="A333" t="s">
        <v>247</v>
      </c>
      <c r="B333" s="2" t="s">
        <v>128</v>
      </c>
      <c r="C333" t="s">
        <v>305</v>
      </c>
      <c r="E333" t="s">
        <v>286</v>
      </c>
      <c r="F333" t="s">
        <v>297</v>
      </c>
      <c r="G333">
        <v>54.86</v>
      </c>
      <c r="H333">
        <v>700436833</v>
      </c>
      <c r="I333" s="5">
        <v>53673.320536398467</v>
      </c>
    </row>
    <row r="334" spans="1:9" x14ac:dyDescent="0.25">
      <c r="A334" t="s">
        <v>247</v>
      </c>
      <c r="B334" s="2" t="s">
        <v>129</v>
      </c>
      <c r="C334" t="s">
        <v>305</v>
      </c>
      <c r="E334" t="s">
        <v>286</v>
      </c>
      <c r="F334" t="s">
        <v>298</v>
      </c>
      <c r="G334">
        <v>56.31</v>
      </c>
      <c r="H334">
        <v>750558650</v>
      </c>
      <c r="I334" s="5">
        <v>57514.072796934866</v>
      </c>
    </row>
    <row r="335" spans="1:9" x14ac:dyDescent="0.25">
      <c r="A335" t="s">
        <v>247</v>
      </c>
      <c r="B335" s="2" t="s">
        <v>130</v>
      </c>
      <c r="C335" t="s">
        <v>305</v>
      </c>
      <c r="E335" t="s">
        <v>286</v>
      </c>
      <c r="F335" t="s">
        <v>298</v>
      </c>
      <c r="G335">
        <v>44.28</v>
      </c>
      <c r="H335">
        <v>593333626</v>
      </c>
      <c r="I335" s="5">
        <v>45466.178237547894</v>
      </c>
    </row>
    <row r="336" spans="1:9" x14ac:dyDescent="0.25">
      <c r="A336" t="s">
        <v>247</v>
      </c>
      <c r="B336" s="2" t="s">
        <v>132</v>
      </c>
      <c r="C336" t="s">
        <v>304</v>
      </c>
      <c r="E336" t="s">
        <v>286</v>
      </c>
      <c r="F336" t="s">
        <v>298</v>
      </c>
      <c r="G336">
        <v>33.4</v>
      </c>
      <c r="H336">
        <v>491290423</v>
      </c>
      <c r="I336" s="5">
        <v>37646.77570881226</v>
      </c>
    </row>
    <row r="337" spans="1:9" x14ac:dyDescent="0.25">
      <c r="A337" t="s">
        <v>247</v>
      </c>
      <c r="B337" s="2" t="s">
        <v>134</v>
      </c>
      <c r="C337" t="s">
        <v>305</v>
      </c>
      <c r="E337" t="s">
        <v>286</v>
      </c>
      <c r="F337" t="s">
        <v>298</v>
      </c>
      <c r="G337">
        <v>54.86</v>
      </c>
      <c r="H337">
        <v>695803370</v>
      </c>
      <c r="I337" s="5">
        <v>53318.265900383143</v>
      </c>
    </row>
    <row r="338" spans="1:9" x14ac:dyDescent="0.25">
      <c r="A338" t="s">
        <v>247</v>
      </c>
      <c r="B338" s="2" t="s">
        <v>135</v>
      </c>
      <c r="C338" t="s">
        <v>305</v>
      </c>
      <c r="E338" t="s">
        <v>286</v>
      </c>
      <c r="F338" t="s">
        <v>299</v>
      </c>
      <c r="G338">
        <v>56.31</v>
      </c>
      <c r="H338">
        <v>737056594</v>
      </c>
      <c r="I338" s="5">
        <v>56479.432490421459</v>
      </c>
    </row>
    <row r="339" spans="1:9" x14ac:dyDescent="0.25">
      <c r="A339" t="s">
        <v>247</v>
      </c>
      <c r="B339" s="2" t="s">
        <v>136</v>
      </c>
      <c r="C339" t="s">
        <v>305</v>
      </c>
      <c r="E339" t="s">
        <v>286</v>
      </c>
      <c r="F339" t="s">
        <v>299</v>
      </c>
      <c r="G339">
        <v>44.28</v>
      </c>
      <c r="H339">
        <v>636236965</v>
      </c>
      <c r="I339" s="5">
        <v>48753.790421455938</v>
      </c>
    </row>
    <row r="340" spans="1:9" x14ac:dyDescent="0.25">
      <c r="A340" t="s">
        <v>247</v>
      </c>
      <c r="B340" s="2" t="s">
        <v>265</v>
      </c>
      <c r="C340" t="s">
        <v>306</v>
      </c>
      <c r="E340" t="s">
        <v>286</v>
      </c>
      <c r="F340" t="s">
        <v>299</v>
      </c>
      <c r="G340">
        <v>57.9</v>
      </c>
      <c r="H340">
        <v>759622853</v>
      </c>
      <c r="I340" s="5">
        <v>58208.647739463602</v>
      </c>
    </row>
    <row r="341" spans="1:9" x14ac:dyDescent="0.25">
      <c r="A341" t="s">
        <v>247</v>
      </c>
      <c r="B341" s="2" t="s">
        <v>137</v>
      </c>
      <c r="C341" t="s">
        <v>304</v>
      </c>
      <c r="E341" t="s">
        <v>286</v>
      </c>
      <c r="F341" t="s">
        <v>299</v>
      </c>
      <c r="G341">
        <v>33.4</v>
      </c>
      <c r="H341">
        <v>419635231</v>
      </c>
      <c r="I341" s="5">
        <v>32155.956398467431</v>
      </c>
    </row>
    <row r="342" spans="1:9" x14ac:dyDescent="0.25">
      <c r="A342" t="s">
        <v>247</v>
      </c>
      <c r="B342" s="2" t="s">
        <v>140</v>
      </c>
      <c r="C342" t="s">
        <v>305</v>
      </c>
      <c r="E342" t="s">
        <v>286</v>
      </c>
      <c r="F342" t="s">
        <v>300</v>
      </c>
      <c r="G342">
        <v>56.31</v>
      </c>
      <c r="H342">
        <v>690882725</v>
      </c>
      <c r="I342" s="5">
        <v>52941.204980842915</v>
      </c>
    </row>
    <row r="343" spans="1:9" x14ac:dyDescent="0.25">
      <c r="A343" t="s">
        <v>247</v>
      </c>
      <c r="B343" s="2" t="s">
        <v>141</v>
      </c>
      <c r="C343" t="s">
        <v>305</v>
      </c>
      <c r="E343" t="s">
        <v>286</v>
      </c>
      <c r="F343" t="s">
        <v>300</v>
      </c>
      <c r="G343">
        <v>44.28</v>
      </c>
      <c r="H343">
        <v>577945228</v>
      </c>
      <c r="I343" s="5">
        <v>44286.990651340995</v>
      </c>
    </row>
    <row r="344" spans="1:9" x14ac:dyDescent="0.25">
      <c r="A344" t="s">
        <v>247</v>
      </c>
      <c r="B344" s="2" t="s">
        <v>143</v>
      </c>
      <c r="C344" t="s">
        <v>304</v>
      </c>
      <c r="E344" t="s">
        <v>286</v>
      </c>
      <c r="F344" t="s">
        <v>300</v>
      </c>
      <c r="G344">
        <v>33.4</v>
      </c>
      <c r="H344">
        <v>487775182</v>
      </c>
      <c r="I344" s="5">
        <v>37377.408582375479</v>
      </c>
    </row>
    <row r="345" spans="1:9" x14ac:dyDescent="0.25">
      <c r="A345" t="s">
        <v>247</v>
      </c>
      <c r="B345" s="2" t="s">
        <v>146</v>
      </c>
      <c r="C345" t="s">
        <v>305</v>
      </c>
      <c r="E345" t="s">
        <v>286</v>
      </c>
      <c r="F345" t="s">
        <v>301</v>
      </c>
      <c r="G345">
        <v>56.19</v>
      </c>
      <c r="H345">
        <v>654015832</v>
      </c>
      <c r="I345" s="5">
        <v>50116.155708812257</v>
      </c>
    </row>
    <row r="346" spans="1:9" x14ac:dyDescent="0.25">
      <c r="A346" t="s">
        <v>247</v>
      </c>
      <c r="B346" s="2" t="s">
        <v>147</v>
      </c>
      <c r="C346" t="s">
        <v>305</v>
      </c>
      <c r="E346" t="s">
        <v>286</v>
      </c>
      <c r="F346" t="s">
        <v>301</v>
      </c>
      <c r="G346">
        <v>44.16</v>
      </c>
      <c r="H346">
        <v>578788780</v>
      </c>
      <c r="I346" s="5">
        <v>44351.630651340995</v>
      </c>
    </row>
    <row r="347" spans="1:9" x14ac:dyDescent="0.25">
      <c r="A347" t="s">
        <v>247</v>
      </c>
      <c r="B347" s="2" t="s">
        <v>149</v>
      </c>
      <c r="C347" t="s">
        <v>304</v>
      </c>
      <c r="E347" t="s">
        <v>286</v>
      </c>
      <c r="F347" t="s">
        <v>301</v>
      </c>
      <c r="G347">
        <v>33.340000000000003</v>
      </c>
      <c r="H347">
        <v>481606560</v>
      </c>
      <c r="I347" s="5">
        <v>36904.717241379309</v>
      </c>
    </row>
    <row r="348" spans="1:9" x14ac:dyDescent="0.25">
      <c r="A348" t="s">
        <v>247</v>
      </c>
      <c r="B348" s="2" t="s">
        <v>153</v>
      </c>
      <c r="C348" t="s">
        <v>305</v>
      </c>
      <c r="E348" t="s">
        <v>286</v>
      </c>
      <c r="F348" t="s">
        <v>302</v>
      </c>
      <c r="G348">
        <v>44.16</v>
      </c>
      <c r="H348">
        <v>573125073</v>
      </c>
      <c r="I348" s="5">
        <v>43917.630114942527</v>
      </c>
    </row>
    <row r="349" spans="1:9" x14ac:dyDescent="0.25">
      <c r="A349" t="s">
        <v>247</v>
      </c>
      <c r="B349" s="2" t="s">
        <v>155</v>
      </c>
      <c r="C349" t="s">
        <v>304</v>
      </c>
      <c r="E349" t="s">
        <v>286</v>
      </c>
      <c r="F349" t="s">
        <v>302</v>
      </c>
      <c r="G349">
        <v>33.340000000000003</v>
      </c>
      <c r="H349">
        <v>466710154</v>
      </c>
      <c r="I349" s="5">
        <v>35763.230191570881</v>
      </c>
    </row>
  </sheetData>
  <sheetProtection formatCells="0" formatColumns="0" formatRows="0" insertColumns="0" insertRows="0" insertHyperlinks="0" deleteColumns="0" deleteRows="0" sort="0" autoFilter="0" pivotTables="0"/>
  <autoFilter ref="A1:I34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F0BF4-8C04-44CB-972D-25E3D76D29F4}">
  <dimension ref="A1:D16"/>
  <sheetViews>
    <sheetView tabSelected="1" zoomScale="160" zoomScaleNormal="160" workbookViewId="0">
      <selection activeCell="B25" sqref="B25"/>
    </sheetView>
  </sheetViews>
  <sheetFormatPr defaultRowHeight="15" x14ac:dyDescent="0.25"/>
  <cols>
    <col min="1" max="1" width="20.5703125" bestFit="1" customWidth="1"/>
    <col min="2" max="2" width="31.5703125" bestFit="1" customWidth="1"/>
    <col min="3" max="3" width="40.7109375" bestFit="1" customWidth="1"/>
    <col min="4" max="4" width="45.7109375" bestFit="1" customWidth="1"/>
    <col min="5" max="5" width="23.5703125" bestFit="1" customWidth="1"/>
    <col min="6" max="6" width="23.140625" bestFit="1" customWidth="1"/>
  </cols>
  <sheetData>
    <row r="1" spans="1:4" x14ac:dyDescent="0.25">
      <c r="A1" s="9"/>
      <c r="B1" s="9"/>
      <c r="C1" s="9"/>
      <c r="D1" s="9"/>
    </row>
    <row r="2" spans="1:4" x14ac:dyDescent="0.25">
      <c r="A2" t="s">
        <v>276</v>
      </c>
      <c r="B2" t="s">
        <v>277</v>
      </c>
      <c r="C2" t="s">
        <v>278</v>
      </c>
      <c r="D2" t="s">
        <v>279</v>
      </c>
    </row>
    <row r="3" spans="1:4" x14ac:dyDescent="0.25">
      <c r="A3" t="s">
        <v>8</v>
      </c>
      <c r="B3">
        <v>237</v>
      </c>
      <c r="C3" s="5">
        <v>9563.11</v>
      </c>
      <c r="D3" s="6">
        <v>9964348</v>
      </c>
    </row>
    <row r="4" spans="1:4" x14ac:dyDescent="0.25">
      <c r="A4" t="s">
        <v>247</v>
      </c>
      <c r="B4">
        <v>111</v>
      </c>
      <c r="C4" s="5">
        <v>4520.53</v>
      </c>
      <c r="D4" s="6">
        <v>4822017</v>
      </c>
    </row>
    <row r="5" spans="1:4" x14ac:dyDescent="0.25">
      <c r="A5" s="7" t="s">
        <v>280</v>
      </c>
      <c r="B5" s="8">
        <f t="shared" ref="B5:C5" si="0">SUM(B3:B4)</f>
        <v>348</v>
      </c>
      <c r="C5" s="8">
        <f t="shared" si="0"/>
        <v>14083.64</v>
      </c>
      <c r="D5" s="8">
        <f>SUM(D3:D4)</f>
        <v>14786365</v>
      </c>
    </row>
    <row r="10" spans="1:4" x14ac:dyDescent="0.25">
      <c r="A10" s="11" t="s">
        <v>281</v>
      </c>
      <c r="B10" s="10" t="s">
        <v>283</v>
      </c>
      <c r="C10" s="18" t="s">
        <v>284</v>
      </c>
      <c r="D10" s="15" t="s">
        <v>307</v>
      </c>
    </row>
    <row r="11" spans="1:4" x14ac:dyDescent="0.25">
      <c r="A11" s="12" t="s">
        <v>8</v>
      </c>
      <c r="B11" s="16">
        <v>9563.110000000006</v>
      </c>
      <c r="C11" s="19">
        <v>9964347.9494252894</v>
      </c>
      <c r="D11" s="20">
        <v>237</v>
      </c>
    </row>
    <row r="12" spans="1:4" x14ac:dyDescent="0.25">
      <c r="A12" s="14" t="s">
        <v>285</v>
      </c>
      <c r="B12" s="16">
        <v>2723.9299999999985</v>
      </c>
      <c r="C12" s="19">
        <v>2833374.7557088137</v>
      </c>
      <c r="D12" s="20">
        <v>75</v>
      </c>
    </row>
    <row r="13" spans="1:4" x14ac:dyDescent="0.25">
      <c r="A13" s="14" t="s">
        <v>286</v>
      </c>
      <c r="B13" s="16">
        <v>3990.0100000000007</v>
      </c>
      <c r="C13" s="19">
        <v>4082488.2345593874</v>
      </c>
      <c r="D13" s="20">
        <v>81</v>
      </c>
    </row>
    <row r="14" spans="1:4" x14ac:dyDescent="0.25">
      <c r="A14" s="14" t="s">
        <v>287</v>
      </c>
      <c r="B14" s="16">
        <v>2849.1699999999992</v>
      </c>
      <c r="C14" s="19">
        <v>3048484.9591570883</v>
      </c>
      <c r="D14" s="20">
        <v>81</v>
      </c>
    </row>
    <row r="15" spans="1:4" x14ac:dyDescent="0.25">
      <c r="A15" s="12" t="s">
        <v>247</v>
      </c>
      <c r="B15" s="16">
        <v>4520.529999999997</v>
      </c>
      <c r="C15" s="19">
        <v>4822017.101149424</v>
      </c>
      <c r="D15" s="20">
        <v>111</v>
      </c>
    </row>
    <row r="16" spans="1:4" x14ac:dyDescent="0.25">
      <c r="A16" s="13" t="s">
        <v>282</v>
      </c>
      <c r="B16" s="17">
        <v>14083.640000000018</v>
      </c>
      <c r="C16" s="21">
        <v>14786365.050574718</v>
      </c>
      <c r="D16" s="22">
        <v>348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829D0-1049-4FB2-9A8E-2BB690CE15C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selection activeCell="I2" sqref="I2"/>
    </sheetView>
  </sheetViews>
  <sheetFormatPr defaultRowHeight="15" x14ac:dyDescent="0.25"/>
  <cols>
    <col min="1" max="1" width="18.7109375" bestFit="1" customWidth="1"/>
    <col min="2" max="2" width="21.140625" bestFit="1" customWidth="1"/>
    <col min="3" max="3" width="34.140625" bestFit="1" customWidth="1"/>
    <col min="4" max="4" width="45.85546875" bestFit="1" customWidth="1"/>
    <col min="5" max="5" width="36.42578125" bestFit="1" customWidth="1"/>
    <col min="6" max="6" width="23.42578125" bestFit="1" customWidth="1"/>
    <col min="7" max="7" width="48.28515625" bestFit="1" customWidth="1"/>
    <col min="8" max="8" width="45.85546875" bestFit="1" customWidth="1"/>
    <col min="9" max="9" width="44.7109375" bestFit="1" customWidth="1"/>
  </cols>
  <sheetData>
    <row r="1" spans="1:9" ht="20.100000000000001" customHeight="1" x14ac:dyDescent="0.25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</row>
    <row r="2" spans="1:9" x14ac:dyDescent="0.25">
      <c r="A2" s="3">
        <v>361</v>
      </c>
      <c r="B2" s="3">
        <v>14151.12</v>
      </c>
      <c r="C2" s="3">
        <v>13351830</v>
      </c>
      <c r="D2" s="3">
        <v>13648120</v>
      </c>
      <c r="E2" s="3">
        <v>193136187210</v>
      </c>
      <c r="F2" s="3">
        <v>0</v>
      </c>
      <c r="G2" s="3">
        <v>186034087177</v>
      </c>
      <c r="H2" s="3">
        <v>7102100033</v>
      </c>
      <c r="I2" s="3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Основной отчет</vt:lpstr>
      <vt:lpstr>Лист2</vt:lpstr>
      <vt:lpstr>Лист1</vt:lpstr>
      <vt:lpstr>Сводный отчет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Дима плахотный</cp:lastModifiedBy>
  <dcterms:created xsi:type="dcterms:W3CDTF">2025-10-07T15:06:54Z</dcterms:created>
  <dcterms:modified xsi:type="dcterms:W3CDTF">2025-10-07T15:18:18Z</dcterms:modified>
  <cp:category/>
</cp:coreProperties>
</file>